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040" windowHeight="9204" tabRatio="600" firstSheet="0" activeTab="1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明细表" sheetId="2" state="visible" r:id="rId2"/>
  </sheets>
  <definedNames>
    <definedName name="_xlnm._FilterDatabase" localSheetId="1" hidden="1">'明细表'!$A$5:$AY$31</definedName>
    <definedName name="_xlnm.Print_Titles" localSheetId="1">'明细表'!$1:$5</definedName>
    <definedName name="_xlnm.Print_Area" localSheetId="1">'明细表'!$A$1:$W$31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7">
    <font>
      <name val="宋体"/>
      <charset val="134"/>
      <color theme="1"/>
      <sz val="11"/>
      <scheme val="minor"/>
    </font>
    <font>
      <name val="Times New Roman"/>
      <charset val="134"/>
      <b val="1"/>
      <color theme="1"/>
      <sz val="10"/>
    </font>
    <font>
      <name val="Times New Roman"/>
      <charset val="134"/>
      <color theme="1"/>
      <sz val="10"/>
    </font>
    <font>
      <name val="Times New Roman"/>
      <charset val="134"/>
      <color theme="1"/>
      <sz val="9"/>
    </font>
    <font>
      <name val="宋体"/>
      <charset val="134"/>
      <b val="1"/>
      <color theme="1"/>
      <sz val="20"/>
    </font>
    <font>
      <name val="Times New Roman"/>
      <charset val="134"/>
      <b val="1"/>
      <color theme="1"/>
      <sz val="20"/>
    </font>
    <font>
      <name val="Times New Roman"/>
      <charset val="134"/>
      <b val="1"/>
      <color theme="1"/>
      <sz val="9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宋体"/>
      <charset val="134"/>
      <b val="1"/>
      <color theme="1"/>
      <sz val="10"/>
    </font>
    <font>
      <name val="宋体"/>
      <charset val="134"/>
      <b val="1"/>
      <color theme="1"/>
      <sz val="9"/>
    </font>
    <font>
      <name val="宋体"/>
      <charset val="134"/>
      <color theme="1"/>
      <sz val="10"/>
    </font>
    <font>
      <name val="宋体"/>
      <charset val="134"/>
      <color theme="1"/>
      <sz val="9"/>
    </font>
    <font>
      <name val="宋体"/>
      <charset val="134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Arial"/>
      <charset val="134"/>
      <sz val="10"/>
    </font>
    <font>
      <name val="宋体"/>
      <charset val="134"/>
      <sz val="9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5" borderId="14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5" applyAlignment="1">
      <alignment vertical="center"/>
    </xf>
    <xf numFmtId="0" fontId="20" fillId="0" borderId="15" applyAlignment="1">
      <alignment vertical="center"/>
    </xf>
    <xf numFmtId="0" fontId="21" fillId="0" borderId="16" applyAlignment="1">
      <alignment vertical="center"/>
    </xf>
    <xf numFmtId="0" fontId="21" fillId="0" borderId="0" applyAlignment="1">
      <alignment vertical="center"/>
    </xf>
    <xf numFmtId="0" fontId="22" fillId="6" borderId="17" applyAlignment="1">
      <alignment vertical="center"/>
    </xf>
    <xf numFmtId="0" fontId="23" fillId="7" borderId="18" applyAlignment="1">
      <alignment vertical="center"/>
    </xf>
    <xf numFmtId="0" fontId="24" fillId="7" borderId="17" applyAlignment="1">
      <alignment vertical="center"/>
    </xf>
    <xf numFmtId="0" fontId="25" fillId="8" borderId="19" applyAlignment="1">
      <alignment vertical="center"/>
    </xf>
    <xf numFmtId="0" fontId="26" fillId="0" borderId="20" applyAlignment="1">
      <alignment vertical="center"/>
    </xf>
    <xf numFmtId="0" fontId="27" fillId="0" borderId="21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0" fillId="0" borderId="0" applyAlignment="1">
      <alignment vertical="center"/>
    </xf>
    <xf numFmtId="0" fontId="35" fillId="0" borderId="0" applyAlignment="1">
      <alignment vertical="center"/>
    </xf>
  </cellStyleXfs>
  <cellXfs count="12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57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right" vertical="center"/>
    </xf>
    <xf numFmtId="0" fontId="1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3" fillId="0" borderId="1" applyAlignment="1" pivotButton="0" quotePrefix="0" xfId="50">
      <alignment horizontal="center" vertical="center" wrapText="1" shrinkToFit="1"/>
    </xf>
    <xf numFmtId="0" fontId="2" fillId="0" borderId="5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 wrapText="1"/>
    </xf>
    <xf numFmtId="164" fontId="1" fillId="3" borderId="5" applyAlignment="1" pivotButton="0" quotePrefix="0" xfId="0">
      <alignment horizontal="center" vertical="center" wrapText="1"/>
    </xf>
    <xf numFmtId="164" fontId="6" fillId="3" borderId="6" applyAlignment="1" pivotButton="0" quotePrefix="0" xfId="0">
      <alignment horizontal="center" vertical="center" wrapText="1"/>
    </xf>
    <xf numFmtId="164" fontId="1" fillId="4" borderId="1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9" fillId="4" borderId="7" applyAlignment="1" pivotButton="0" quotePrefix="0" xfId="0">
      <alignment horizontal="center" vertical="center" wrapText="1"/>
    </xf>
    <xf numFmtId="164" fontId="1" fillId="4" borderId="5" applyAlignment="1" pivotButton="0" quotePrefix="0" xfId="0">
      <alignment horizontal="center" vertical="center" wrapText="1"/>
    </xf>
    <xf numFmtId="164" fontId="6" fillId="4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164" fontId="2" fillId="0" borderId="13" applyAlignment="1" pivotButton="0" quotePrefix="0" xfId="0">
      <alignment vertical="center"/>
    </xf>
    <xf numFmtId="164" fontId="2" fillId="0" borderId="13" applyAlignment="1" pivotButton="0" quotePrefix="0" xfId="0">
      <alignment vertical="center"/>
    </xf>
    <xf numFmtId="164" fontId="2" fillId="0" borderId="13" applyAlignment="1" pivotButton="0" quotePrefix="0" xfId="0">
      <alignment horizontal="right" vertical="center"/>
    </xf>
    <xf numFmtId="0" fontId="2" fillId="0" borderId="13" applyAlignment="1" pivotButton="0" quotePrefix="0" xfId="0">
      <alignment vertical="center"/>
    </xf>
    <xf numFmtId="0" fontId="2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57" fontId="7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1" fillId="0" borderId="1" applyAlignment="1" pivotButton="0" quotePrefix="0" xfId="3">
      <alignment horizontal="center" vertical="center"/>
    </xf>
    <xf numFmtId="164" fontId="1" fillId="0" borderId="1" applyAlignment="1" pivotButton="0" quotePrefix="0" xfId="3">
      <alignment horizontal="left" vertical="center"/>
    </xf>
    <xf numFmtId="164" fontId="1" fillId="0" borderId="1" applyAlignment="1" pivotButton="0" quotePrefix="0" xfId="3">
      <alignment horizontal="left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2" fillId="0" borderId="1" applyAlignment="1" pivotButton="0" quotePrefix="1" xfId="0">
      <alignment horizontal="center" vertical="center"/>
    </xf>
    <xf numFmtId="0" fontId="2" fillId="0" borderId="6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164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4" fontId="1" fillId="0" borderId="1" applyAlignment="1" pivotButton="0" quotePrefix="0" xfId="0">
      <alignment horizontal="left" vertical="center"/>
    </xf>
    <xf numFmtId="0" fontId="0" fillId="0" borderId="3" pivotButton="0" quotePrefix="0" xfId="0"/>
    <xf numFmtId="164" fontId="11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 wrapText="1" shrinkToFit="1"/>
    </xf>
    <xf numFmtId="164" fontId="36" fillId="0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0" fillId="0" borderId="12" pivotButton="0" quotePrefix="0" xfId="0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 2" xfId="49"/>
    <cellStyle name="常规_临沧项目_1" xfId="50"/>
    <cellStyle name="常规 2" xfId="51"/>
    <cellStyle name="常规 8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R5" authorId="0" shapeId="0">
      <text>
        <t>10月工资的税费我没有动，请核查好并修改。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V8"/>
  <sheetViews>
    <sheetView workbookViewId="0">
      <selection activeCell="F18" sqref="F18"/>
    </sheetView>
  </sheetViews>
  <sheetFormatPr baseColWidth="8" defaultColWidth="9" defaultRowHeight="13.2"/>
  <cols>
    <col width="16.2222222222222" customWidth="1" style="92" min="1" max="1"/>
    <col width="5.37962962962963" customWidth="1" style="91" min="2" max="2"/>
    <col width="10.25" customWidth="1" style="93" min="3" max="3"/>
    <col width="11.1481481481481" customWidth="1" style="93" min="4" max="4"/>
    <col width="6.33333333333333" customWidth="1" style="93" min="5" max="5"/>
    <col width="8.111111111111111" customWidth="1" style="93" min="6" max="6"/>
    <col width="6.77777777777778" customWidth="1" style="91" min="7" max="12"/>
    <col width="6.77777777777778" customWidth="1" style="90" min="13" max="20"/>
    <col width="10.6481481481481" customWidth="1" style="90" min="21" max="21"/>
    <col width="9.37962962962963" customWidth="1" style="90" min="22" max="22"/>
    <col width="9" customWidth="1" style="90" min="23" max="16384"/>
  </cols>
  <sheetData>
    <row r="1" ht="15" customHeight="1" s="110">
      <c r="A1" s="94" t="inlineStr">
        <is>
          <t>唐人数智科技股份有限公司广东分公司（河源项目部）车租汇总表（春苗北京）</t>
        </is>
      </c>
      <c r="V1" s="1" t="n"/>
    </row>
    <row r="2" ht="15" customHeight="1" s="110">
      <c r="V2" s="1" t="n"/>
    </row>
    <row r="3" ht="15" customHeight="1" s="110">
      <c r="A3" s="95" t="n">
        <v>46113</v>
      </c>
      <c r="V3" s="1" t="n"/>
    </row>
    <row r="4">
      <c r="A4" s="19" t="inlineStr">
        <is>
          <t>项目名称</t>
        </is>
      </c>
      <c r="B4" s="19" t="inlineStr">
        <is>
          <t>本月人数</t>
        </is>
      </c>
      <c r="C4" s="19" t="inlineStr">
        <is>
          <t>本月应发工资</t>
        </is>
      </c>
      <c r="D4" s="19" t="inlineStr">
        <is>
          <t>本月实发工资</t>
        </is>
      </c>
      <c r="E4" s="19" t="inlineStr">
        <is>
          <t>其他扣款</t>
        </is>
      </c>
      <c r="F4" s="19" t="inlineStr">
        <is>
          <t>个税代扣金额</t>
        </is>
      </c>
      <c r="G4" s="24" t="inlineStr">
        <is>
          <t>社保个人部分</t>
        </is>
      </c>
      <c r="H4" s="111" t="n"/>
      <c r="I4" s="111" t="n"/>
      <c r="J4" s="111" t="n"/>
      <c r="K4" s="111" t="n"/>
      <c r="L4" s="112" t="n"/>
      <c r="M4" s="24" t="inlineStr">
        <is>
          <t>社保单位部分</t>
        </is>
      </c>
      <c r="N4" s="111" t="n"/>
      <c r="O4" s="111" t="n"/>
      <c r="P4" s="111" t="n"/>
      <c r="Q4" s="111" t="n"/>
      <c r="R4" s="111" t="n"/>
      <c r="S4" s="111" t="n"/>
      <c r="T4" s="112" t="n"/>
      <c r="U4" s="24" t="inlineStr">
        <is>
          <t>合计</t>
        </is>
      </c>
      <c r="V4" s="1" t="n"/>
    </row>
    <row r="5">
      <c r="A5" s="113" t="n"/>
      <c r="B5" s="113" t="n"/>
      <c r="C5" s="113" t="n"/>
      <c r="D5" s="113" t="n"/>
      <c r="E5" s="113" t="n"/>
      <c r="F5" s="113" t="n"/>
      <c r="G5" s="24" t="inlineStr">
        <is>
          <t>养老</t>
        </is>
      </c>
      <c r="H5" s="32" t="inlineStr">
        <is>
          <t>社保补差</t>
        </is>
      </c>
      <c r="I5" s="24" t="inlineStr">
        <is>
          <t>医疗</t>
        </is>
      </c>
      <c r="J5" s="24" t="inlineStr">
        <is>
          <t>大病医疗</t>
        </is>
      </c>
      <c r="K5" s="24" t="inlineStr">
        <is>
          <t>失业</t>
        </is>
      </c>
      <c r="L5" s="24" t="inlineStr">
        <is>
          <t>公积金</t>
        </is>
      </c>
      <c r="M5" s="24" t="inlineStr">
        <is>
          <t>养老</t>
        </is>
      </c>
      <c r="N5" s="32" t="inlineStr">
        <is>
          <t>社保补差</t>
        </is>
      </c>
      <c r="O5" s="24" t="inlineStr">
        <is>
          <t>医疗</t>
        </is>
      </c>
      <c r="P5" s="24" t="inlineStr">
        <is>
          <t>失业</t>
        </is>
      </c>
      <c r="Q5" s="24" t="inlineStr">
        <is>
          <t>工伤</t>
        </is>
      </c>
      <c r="R5" s="24" t="inlineStr">
        <is>
          <t>生育</t>
        </is>
      </c>
      <c r="S5" s="24" t="inlineStr">
        <is>
          <t>大病医疗</t>
        </is>
      </c>
      <c r="T5" s="24" t="inlineStr">
        <is>
          <t>滞纳金</t>
        </is>
      </c>
      <c r="U5" s="113" t="n"/>
      <c r="V5" s="1" t="n"/>
    </row>
    <row r="6" ht="39" customHeight="1" s="110">
      <c r="A6" s="19" t="inlineStr">
        <is>
          <t>未填写项目</t>
        </is>
      </c>
      <c r="B6" s="64">
        <f>COUNTIF('明细表'!$AS:$AS,A6)</f>
        <v/>
      </c>
      <c r="C6" s="114">
        <f>SUMIF('明细表'!$AS:$AS,A6,'明细表'!$P:$P)</f>
        <v/>
      </c>
      <c r="D6" s="114">
        <f>SUMIF('明细表'!$AS:$AS,A6,'明细表'!$U:$U)</f>
        <v/>
      </c>
      <c r="E6" s="114">
        <f>SUMIF('明细表'!$AS:$AS,A6,'明细表'!$M:$M)+SUMIF('明细表'!$AS:$AS,A6,'明细表'!$N:$N)+SUMIF('明细表'!$AS:$AS,A6,'明细表'!$O:$O)+SUMIF('明细表'!$AS:$AS,A6,'明细表'!$S:$S)</f>
        <v/>
      </c>
      <c r="F6" s="114">
        <f>SUMIF('明细表'!$AS:$AS,A6,'明细表'!$R:$R)</f>
        <v/>
      </c>
      <c r="G6" s="115">
        <f>SUMIF('明细表'!$AS:$AS,A6,'明细表'!$X:$X)</f>
        <v/>
      </c>
      <c r="H6" s="115">
        <f>SUMIF('明细表'!$AS:$AS,A6,'明细表'!$Y:$Y)</f>
        <v/>
      </c>
      <c r="I6" s="115">
        <f>SUMIF('明细表'!$AS:$AS,A6,'明细表'!$AA:$AA)</f>
        <v/>
      </c>
      <c r="J6" s="115">
        <f>SUMIF('明细表'!$AS:$AS,A6,'明细表'!$AB:$AB)</f>
        <v/>
      </c>
      <c r="K6" s="115">
        <f>SUMIF('明细表'!$AS:$AS,A6,'明细表'!$AD:$AD)</f>
        <v/>
      </c>
      <c r="L6" s="115">
        <f>SUMIF('明细表'!$AS:$AS,A6,'明细表'!$AE:$AE)</f>
        <v/>
      </c>
      <c r="M6" s="116">
        <f>SUMIF('明细表'!$AS:$AS,A6,'明细表'!$AG:$AG)</f>
        <v/>
      </c>
      <c r="N6" s="116">
        <f>SUMIF('明细表'!$AS:$AS,A6,'明细表'!$AH:$AH)</f>
        <v/>
      </c>
      <c r="O6" s="116">
        <f>SUMIF('明细表'!$AS:$AS,A6,'明细表'!$AJ:$AJ)</f>
        <v/>
      </c>
      <c r="P6" s="116">
        <f>SUMIF('明细表'!$AS:$AS,A6,'明细表'!$AM:$AM)</f>
        <v/>
      </c>
      <c r="Q6" s="116">
        <f>SUMIF('明细表'!$AS:$AS,A6,'明细表'!$AN:$AN)</f>
        <v/>
      </c>
      <c r="R6" s="116">
        <f>SUMIF('明细表'!$AS:$AS,A6,'明细表'!$AO:$AO)</f>
        <v/>
      </c>
      <c r="S6" s="116">
        <f>SUMIF('明细表'!$AS:$AS,A6,'明细表'!$AK:$AK)</f>
        <v/>
      </c>
      <c r="T6" s="116">
        <f>SUMIF('明细表'!$AS:$AS,A6,'明细表'!$AP:$AP)</f>
        <v/>
      </c>
      <c r="U6" s="116">
        <f>SUM(D6:T6)</f>
        <v/>
      </c>
    </row>
    <row r="7" ht="26.1" customHeight="1" s="110">
      <c r="A7" s="19" t="inlineStr">
        <is>
          <t>合计</t>
        </is>
      </c>
      <c r="B7" s="23">
        <f>SUM(B6:B6)</f>
        <v/>
      </c>
      <c r="C7" s="117">
        <f>SUM(C6:C6)</f>
        <v/>
      </c>
      <c r="D7" s="117">
        <f>SUM(D6:D6)</f>
        <v/>
      </c>
      <c r="E7" s="117">
        <f>SUM(E6:E6)</f>
        <v/>
      </c>
      <c r="F7" s="117">
        <f>SUM(F6:F6)</f>
        <v/>
      </c>
      <c r="G7" s="117">
        <f>SUM(G6:G6)</f>
        <v/>
      </c>
      <c r="H7" s="117">
        <f>SUM(H6:H6)</f>
        <v/>
      </c>
      <c r="I7" s="117">
        <f>SUM(I6:I6)</f>
        <v/>
      </c>
      <c r="J7" s="117">
        <f>SUM(J6:J6)</f>
        <v/>
      </c>
      <c r="K7" s="117">
        <f>SUM(K6:K6)</f>
        <v/>
      </c>
      <c r="L7" s="117">
        <f>SUM(L6:L6)</f>
        <v/>
      </c>
      <c r="M7" s="117">
        <f>SUM(M6:M6)</f>
        <v/>
      </c>
      <c r="N7" s="117">
        <f>SUM(N6:N6)</f>
        <v/>
      </c>
      <c r="O7" s="117">
        <f>SUM(O6:O6)</f>
        <v/>
      </c>
      <c r="P7" s="117">
        <f>SUM(P6:P6)</f>
        <v/>
      </c>
      <c r="Q7" s="117">
        <f>SUM(Q6:Q6)</f>
        <v/>
      </c>
      <c r="R7" s="117">
        <f>SUM(R6:R6)</f>
        <v/>
      </c>
      <c r="S7" s="117">
        <f>SUM(S6:S6)</f>
        <v/>
      </c>
      <c r="T7" s="117">
        <f>SUM(T6:T6)</f>
        <v/>
      </c>
      <c r="U7" s="117">
        <f>SUM(U6:U6)</f>
        <v/>
      </c>
    </row>
    <row r="8" ht="38" customFormat="1" customHeight="1" s="1">
      <c r="A8" s="106" t="inlineStr">
        <is>
          <t>总经理：                            财务中心：                            人力资源部：                          运营商事业部：                         制表人：</t>
        </is>
      </c>
      <c r="V8" s="107" t="n"/>
    </row>
    <row r="9" ht="38" customHeight="1" s="110"/>
  </sheetData>
  <mergeCells count="12">
    <mergeCell ref="A8:U8"/>
    <mergeCell ref="B4:B5"/>
    <mergeCell ref="C4:C5"/>
    <mergeCell ref="A4:A5"/>
    <mergeCell ref="F4:F5"/>
    <mergeCell ref="D4:D5"/>
    <mergeCell ref="E4:E5"/>
    <mergeCell ref="G4:L4"/>
    <mergeCell ref="U4:U5"/>
    <mergeCell ref="M4:T4"/>
    <mergeCell ref="A1:U2"/>
    <mergeCell ref="A3:U3"/>
  </mergeCells>
  <printOptions horizontalCentered="1"/>
  <pageMargins left="0.196527777777778" right="0.118055555555556" top="0.393055555555556" bottom="0.393055555555556" header="0.275" footer="0.275"/>
  <pageSetup orientation="landscape" paperSize="9" scale="80" fitToHeight="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Y24"/>
  <sheetViews>
    <sheetView tabSelected="1" workbookViewId="0">
      <pane xSplit="4" ySplit="5" topLeftCell="E22" activePane="bottomRight" state="frozen"/>
      <selection activeCell="A1" sqref="A1"/>
      <selection pane="topRight" activeCell="A1" sqref="A1"/>
      <selection pane="bottomLeft" activeCell="A1" sqref="A1"/>
      <selection pane="bottomRight" activeCell="H29" sqref="H29"/>
    </sheetView>
  </sheetViews>
  <sheetFormatPr baseColWidth="8" defaultColWidth="9" defaultRowHeight="13.2"/>
  <cols>
    <col width="3.37962962962963" customWidth="1" style="91" min="1" max="1"/>
    <col width="7.75" customWidth="1" style="91" min="2" max="2"/>
    <col width="7.55555555555556" customWidth="1" style="7" min="3" max="3"/>
    <col width="19.7777777777778" customWidth="1" style="7" min="4" max="4"/>
    <col width="7.77777777777778" customWidth="1" style="90" min="5" max="11"/>
    <col width="10.5" customWidth="1" style="90" min="12" max="12"/>
    <col width="9.111111111111111" customWidth="1" style="90" min="13" max="13"/>
    <col width="7.44444444444444" customWidth="1" style="90" min="14" max="14"/>
    <col width="8.22222222222222" customWidth="1" style="90" min="15" max="15"/>
    <col width="11" customWidth="1" style="90" min="16" max="16"/>
    <col width="9.555555555555561" customWidth="1" style="90" min="17" max="17"/>
    <col width="7.88888888888889" customWidth="1" style="90" min="18" max="18"/>
    <col width="7.5462962962963" customWidth="1" style="90" min="19" max="19"/>
    <col width="7.44444444444444" customWidth="1" style="90" min="20" max="20"/>
    <col width="11.1481481481481" customWidth="1" style="90" min="21" max="21"/>
    <col width="7.88888888888889" customWidth="1" style="90" min="22" max="22"/>
    <col width="11" customWidth="1" style="90" min="23" max="23"/>
    <col width="9.648148148148151" customWidth="1" style="90" min="24" max="26"/>
    <col width="9.444444444444439" customWidth="1" style="8" min="27" max="27"/>
    <col width="9" customWidth="1" style="90" min="28" max="31"/>
    <col width="10.3796296296296" customWidth="1" style="90" min="32" max="32"/>
    <col width="10.5" customWidth="1" style="90" min="33" max="35"/>
    <col width="9.444444444444439" customWidth="1" style="90" min="36" max="39"/>
    <col width="9" customWidth="1" style="90" min="40" max="40"/>
    <col width="9.444444444444439" customWidth="1" style="90" min="41" max="41"/>
    <col width="9" customWidth="1" style="90" min="42" max="42"/>
    <col width="9.87962962962963" customWidth="1" style="90" min="43" max="43"/>
    <col width="9" customWidth="1" style="90" min="44" max="44"/>
    <col width="45.8796296296296" customWidth="1" style="90" min="45" max="45"/>
    <col width="13.6481481481481" customWidth="1" style="90" min="46" max="46"/>
    <col width="8.5" customWidth="1" style="90" min="47" max="47"/>
    <col width="10.4444444444444" customWidth="1" style="90" min="48" max="49"/>
    <col width="11.8796296296296" customWidth="1" style="91" min="50" max="50"/>
    <col width="10.3796296296296" customWidth="1" style="90" min="51" max="51"/>
    <col width="9" customWidth="1" style="90" min="52" max="16384"/>
  </cols>
  <sheetData>
    <row r="1" ht="24" customFormat="1" customHeight="1" s="1">
      <c r="A1" s="9" t="inlineStr">
        <is>
          <t>唐人数智科技股份有限公司广东分公司（河源项目部）车租明细表（春苗北京）</t>
        </is>
      </c>
      <c r="AA1" s="13" t="n"/>
      <c r="AX1" s="74" t="n"/>
    </row>
    <row r="2" ht="24" customFormat="1" customHeight="1" s="1">
      <c r="AA2" s="13" t="n"/>
      <c r="AX2" s="74" t="n"/>
    </row>
    <row r="3" ht="15.6" customFormat="1" customHeight="1" s="1">
      <c r="A3" s="15" t="n">
        <v>46113</v>
      </c>
      <c r="AA3" s="13" t="n"/>
      <c r="AX3" s="74" t="n"/>
    </row>
    <row r="4" customFormat="1" s="74">
      <c r="A4" s="19" t="inlineStr">
        <is>
          <t>序号</t>
        </is>
      </c>
      <c r="B4" s="19" t="inlineStr">
        <is>
          <t>姓名</t>
        </is>
      </c>
      <c r="C4" s="20" t="inlineStr">
        <is>
          <t>正式/试用</t>
        </is>
      </c>
      <c r="D4" s="21" t="inlineStr">
        <is>
          <t>身份证号码</t>
        </is>
      </c>
      <c r="E4" s="19" t="inlineStr">
        <is>
          <t>基础工资</t>
        </is>
      </c>
      <c r="F4" s="19" t="inlineStr">
        <is>
          <t>岗位工资</t>
        </is>
      </c>
      <c r="G4" s="19" t="inlineStr">
        <is>
          <t>保密津贴</t>
        </is>
      </c>
      <c r="H4" s="19" t="inlineStr">
        <is>
          <t>午/误餐补贴</t>
        </is>
      </c>
      <c r="I4" s="19" t="inlineStr">
        <is>
          <t>交通补贴</t>
        </is>
      </c>
      <c r="J4" s="19" t="inlineStr">
        <is>
          <t>话费补贴</t>
        </is>
      </c>
      <c r="K4" s="19" t="inlineStr">
        <is>
          <t>电脑及工具补贴</t>
        </is>
      </c>
      <c r="L4" s="19" t="inlineStr">
        <is>
          <t>车租</t>
        </is>
      </c>
      <c r="M4" s="24" t="inlineStr">
        <is>
          <t>扣款</t>
        </is>
      </c>
      <c r="N4" s="112" t="n"/>
      <c r="O4" s="23" t="n"/>
      <c r="P4" s="24" t="inlineStr">
        <is>
          <t>应发小计</t>
        </is>
      </c>
      <c r="Q4" s="24" t="inlineStr">
        <is>
          <t>扣款</t>
        </is>
      </c>
      <c r="R4" s="111" t="n"/>
      <c r="S4" s="112" t="n"/>
      <c r="T4" s="24" t="inlineStr">
        <is>
          <t>应扣小计</t>
        </is>
      </c>
      <c r="U4" s="24" t="inlineStr">
        <is>
          <t>实发小计</t>
        </is>
      </c>
      <c r="V4" s="19" t="inlineStr">
        <is>
          <t>单位缴纳社保及公积金</t>
        </is>
      </c>
      <c r="W4" s="19" t="inlineStr">
        <is>
          <t>公司付款合计</t>
        </is>
      </c>
      <c r="X4" s="24" t="inlineStr">
        <is>
          <t>个人社保及公积金扣款明细</t>
        </is>
      </c>
      <c r="Y4" s="111" t="n"/>
      <c r="Z4" s="111" t="n"/>
      <c r="AA4" s="111" t="n"/>
      <c r="AB4" s="111" t="n"/>
      <c r="AC4" s="111" t="n"/>
      <c r="AD4" s="111" t="n"/>
      <c r="AE4" s="111" t="n"/>
      <c r="AF4" s="112" t="n"/>
      <c r="AG4" s="24" t="inlineStr">
        <is>
          <t>单位缴纳社保及公积金明细</t>
        </is>
      </c>
      <c r="AH4" s="111" t="n"/>
      <c r="AI4" s="111" t="n"/>
      <c r="AJ4" s="111" t="n"/>
      <c r="AK4" s="111" t="n"/>
      <c r="AL4" s="111" t="n"/>
      <c r="AM4" s="111" t="n"/>
      <c r="AN4" s="111" t="n"/>
      <c r="AO4" s="111" t="n"/>
      <c r="AP4" s="111" t="n"/>
      <c r="AQ4" s="112" t="n"/>
      <c r="AR4" s="23" t="inlineStr">
        <is>
          <t>区域</t>
        </is>
      </c>
      <c r="AS4" s="23" t="inlineStr">
        <is>
          <t>项目</t>
        </is>
      </c>
      <c r="AT4" s="23" t="inlineStr">
        <is>
          <t>岗位</t>
        </is>
      </c>
      <c r="AU4" s="26" t="inlineStr">
        <is>
          <t>入职公司</t>
        </is>
      </c>
      <c r="AV4" s="23" t="inlineStr">
        <is>
          <t>卡号</t>
        </is>
      </c>
      <c r="AW4" s="23" t="inlineStr">
        <is>
          <t>开户行</t>
        </is>
      </c>
      <c r="AX4" s="23" t="inlineStr">
        <is>
          <t>手机号</t>
        </is>
      </c>
      <c r="AY4" s="23" t="inlineStr">
        <is>
          <t>专项扣款</t>
        </is>
      </c>
    </row>
    <row r="5" ht="24" customFormat="1" customHeight="1" s="74">
      <c r="A5" s="113" t="n"/>
      <c r="B5" s="113" t="n"/>
      <c r="C5" s="113" t="n"/>
      <c r="D5" s="118" t="n"/>
      <c r="E5" s="113" t="n"/>
      <c r="F5" s="113" t="n"/>
      <c r="G5" s="113" t="n"/>
      <c r="H5" s="113" t="n"/>
      <c r="I5" s="113" t="n"/>
      <c r="J5" s="113" t="n"/>
      <c r="K5" s="113" t="n"/>
      <c r="L5" s="113" t="n"/>
      <c r="M5" s="32" t="inlineStr">
        <is>
          <t>考勤</t>
        </is>
      </c>
      <c r="N5" s="32" t="inlineStr">
        <is>
          <t>考核</t>
        </is>
      </c>
      <c r="O5" s="32" t="inlineStr">
        <is>
          <t>其它</t>
        </is>
      </c>
      <c r="P5" s="113" t="n"/>
      <c r="Q5" s="34" t="inlineStr">
        <is>
          <t>个人社保及其他</t>
        </is>
      </c>
      <c r="R5" s="32" t="inlineStr">
        <is>
          <t>个税</t>
        </is>
      </c>
      <c r="S5" s="32" t="inlineStr">
        <is>
          <t>其它</t>
        </is>
      </c>
      <c r="T5" s="113" t="n"/>
      <c r="U5" s="113" t="n"/>
      <c r="V5" s="113" t="n"/>
      <c r="W5" s="113" t="n"/>
      <c r="X5" s="32" t="inlineStr">
        <is>
          <t>养老</t>
        </is>
      </c>
      <c r="Y5" s="32" t="inlineStr">
        <is>
          <t>社保补差</t>
        </is>
      </c>
      <c r="Z5" s="32" t="inlineStr">
        <is>
          <t>养老合计</t>
        </is>
      </c>
      <c r="AA5" s="35" t="inlineStr">
        <is>
          <t>医疗</t>
        </is>
      </c>
      <c r="AB5" s="32" t="inlineStr">
        <is>
          <t>大病医疗</t>
        </is>
      </c>
      <c r="AC5" s="32" t="inlineStr">
        <is>
          <t>医疗合计</t>
        </is>
      </c>
      <c r="AD5" s="32" t="inlineStr">
        <is>
          <t>失业</t>
        </is>
      </c>
      <c r="AE5" s="32" t="inlineStr">
        <is>
          <t>住房公积金</t>
        </is>
      </c>
      <c r="AF5" s="32" t="inlineStr">
        <is>
          <t>小计</t>
        </is>
      </c>
      <c r="AG5" s="32" t="inlineStr">
        <is>
          <t>养老</t>
        </is>
      </c>
      <c r="AH5" s="32" t="inlineStr">
        <is>
          <t>社保补差</t>
        </is>
      </c>
      <c r="AI5" s="32" t="inlineStr">
        <is>
          <t>养老合计</t>
        </is>
      </c>
      <c r="AJ5" s="32" t="inlineStr">
        <is>
          <t>医疗</t>
        </is>
      </c>
      <c r="AK5" s="32" t="inlineStr">
        <is>
          <t>大病保险</t>
        </is>
      </c>
      <c r="AL5" s="32" t="inlineStr">
        <is>
          <t>医疗合计</t>
        </is>
      </c>
      <c r="AM5" s="32" t="inlineStr">
        <is>
          <t>失业</t>
        </is>
      </c>
      <c r="AN5" s="32" t="inlineStr">
        <is>
          <t>工伤</t>
        </is>
      </c>
      <c r="AO5" s="32" t="inlineStr">
        <is>
          <t>生育</t>
        </is>
      </c>
      <c r="AP5" s="32" t="inlineStr">
        <is>
          <t>滞纳金</t>
        </is>
      </c>
      <c r="AQ5" s="32" t="inlineStr">
        <is>
          <t>合计</t>
        </is>
      </c>
      <c r="AR5" s="113" t="n"/>
      <c r="AS5" s="113" t="n"/>
      <c r="AT5" s="113" t="n"/>
      <c r="AU5" s="113" t="n"/>
      <c r="AV5" s="113" t="n"/>
      <c r="AW5" s="113" t="n"/>
      <c r="AX5" s="113" t="n"/>
      <c r="AY5" s="113" t="n"/>
    </row>
    <row r="6" ht="21.95" customHeight="1" s="110">
      <c r="A6" s="64" t="n">
        <v>1</v>
      </c>
      <c r="B6" s="119" t="inlineStr">
        <is>
          <t>员工1</t>
        </is>
      </c>
      <c r="C6" s="120" t="inlineStr">
        <is>
          <t>正式</t>
        </is>
      </c>
      <c r="D6" s="64" t="inlineStr">
        <is>
          <t>44162219901007667X</t>
        </is>
      </c>
      <c r="E6" s="116" t="n"/>
      <c r="F6" s="116" t="n"/>
      <c r="G6" s="116" t="n"/>
      <c r="H6" s="116" t="n"/>
      <c r="I6" s="116" t="n"/>
      <c r="J6" s="116" t="n"/>
      <c r="K6" s="116" t="n"/>
      <c r="L6" s="116" t="n">
        <v>500</v>
      </c>
      <c r="M6" s="116" t="n"/>
      <c r="N6" s="116" t="n"/>
      <c r="O6" s="116" t="n"/>
      <c r="P6" s="116">
        <f>ROUND(SUM(E6:L6)-SUM(M6:O6),2)</f>
        <v/>
      </c>
      <c r="Q6" s="116">
        <f>AF6</f>
        <v/>
      </c>
      <c r="R6" s="116" t="n">
        <v>0</v>
      </c>
      <c r="S6" s="116" t="n"/>
      <c r="T6" s="116">
        <f>ROUND(SUM(Q6:S6),2)</f>
        <v/>
      </c>
      <c r="U6" s="116">
        <f>ROUND(P6-T6,2)</f>
        <v/>
      </c>
      <c r="V6" s="116">
        <f>AQ6</f>
        <v/>
      </c>
      <c r="W6" s="116">
        <f>ROUND(T6+U6+V6,2)</f>
        <v/>
      </c>
      <c r="X6" s="115" t="n"/>
      <c r="Y6" s="115" t="n">
        <v>0</v>
      </c>
      <c r="Z6" s="115">
        <f>X6+Y6</f>
        <v/>
      </c>
      <c r="AA6" s="45" t="n"/>
      <c r="AB6" s="116" t="n">
        <v>0</v>
      </c>
      <c r="AC6" s="116">
        <f>AA6+AB6</f>
        <v/>
      </c>
      <c r="AD6" s="115" t="n"/>
      <c r="AE6" s="116" t="n">
        <v>0</v>
      </c>
      <c r="AF6" s="116">
        <f>Z6+AC6+AD6+AE6</f>
        <v/>
      </c>
      <c r="AG6" s="116" t="n"/>
      <c r="AH6" s="116" t="n">
        <v>0</v>
      </c>
      <c r="AI6" s="116">
        <f>AG6+AH6</f>
        <v/>
      </c>
      <c r="AJ6" s="115" t="n"/>
      <c r="AK6" s="116" t="n">
        <v>0</v>
      </c>
      <c r="AL6" s="115">
        <f>AJ6+AK6</f>
        <v/>
      </c>
      <c r="AM6" s="115" t="n"/>
      <c r="AN6" s="115" t="n"/>
      <c r="AO6" s="115" t="n"/>
      <c r="AP6" s="116" t="n">
        <v>0</v>
      </c>
      <c r="AQ6" s="116">
        <f>AI6+AL6+AM6+AN6+AO6+AP6</f>
        <v/>
      </c>
      <c r="AR6" s="52" t="n"/>
      <c r="AS6" s="53" t="inlineStr">
        <is>
          <t>未填写项目</t>
        </is>
      </c>
      <c r="AT6" s="52" t="n"/>
      <c r="AU6" s="121" t="inlineStr">
        <is>
          <t>春苗北京</t>
        </is>
      </c>
      <c r="AV6" s="49" t="n"/>
      <c r="AW6" s="49" t="n"/>
      <c r="AX6" s="64" t="n">
        <v>11111111111</v>
      </c>
      <c r="AY6" s="52" t="n"/>
    </row>
    <row r="7" ht="21.95" customHeight="1" s="110">
      <c r="A7" s="64" t="n">
        <v>2</v>
      </c>
      <c r="B7" s="119" t="inlineStr">
        <is>
          <t>员工2</t>
        </is>
      </c>
      <c r="C7" s="120" t="inlineStr">
        <is>
          <t>正式</t>
        </is>
      </c>
      <c r="D7" s="64" t="inlineStr">
        <is>
          <t>441622198404210312</t>
        </is>
      </c>
      <c r="E7" s="116" t="n"/>
      <c r="F7" s="116" t="n"/>
      <c r="G7" s="116" t="n"/>
      <c r="H7" s="116" t="n"/>
      <c r="I7" s="116" t="n"/>
      <c r="J7" s="116" t="n"/>
      <c r="K7" s="116" t="n"/>
      <c r="L7" s="116" t="n">
        <v>500</v>
      </c>
      <c r="M7" s="116" t="n"/>
      <c r="N7" s="116" t="n"/>
      <c r="O7" s="116" t="n"/>
      <c r="P7" s="116">
        <f>ROUND(SUM(E7:L7)-SUM(M7:O7),2)</f>
        <v/>
      </c>
      <c r="Q7" s="116">
        <f>AF7</f>
        <v/>
      </c>
      <c r="R7" s="116" t="n">
        <v>0</v>
      </c>
      <c r="S7" s="116" t="n"/>
      <c r="T7" s="116">
        <f>ROUND(SUM(Q7:S7),2)</f>
        <v/>
      </c>
      <c r="U7" s="116">
        <f>ROUND(P7-T7,2)</f>
        <v/>
      </c>
      <c r="V7" s="116">
        <f>AQ7</f>
        <v/>
      </c>
      <c r="W7" s="116">
        <f>ROUND(T7+U7+V7,2)</f>
        <v/>
      </c>
      <c r="X7" s="115" t="n"/>
      <c r="Y7" s="115" t="n">
        <v>0</v>
      </c>
      <c r="Z7" s="115">
        <f>X7+Y7</f>
        <v/>
      </c>
      <c r="AA7" s="45" t="n"/>
      <c r="AB7" s="116" t="n">
        <v>0</v>
      </c>
      <c r="AC7" s="116">
        <f>AA7+AB7</f>
        <v/>
      </c>
      <c r="AD7" s="115" t="n"/>
      <c r="AE7" s="116" t="n">
        <v>0</v>
      </c>
      <c r="AF7" s="116">
        <f>Z7+AC7+AD7+AE7</f>
        <v/>
      </c>
      <c r="AG7" s="116" t="n"/>
      <c r="AH7" s="116" t="n">
        <v>0</v>
      </c>
      <c r="AI7" s="116">
        <f>AG7+AH7</f>
        <v/>
      </c>
      <c r="AJ7" s="115" t="n"/>
      <c r="AK7" s="116" t="n">
        <v>0</v>
      </c>
      <c r="AL7" s="115">
        <f>AJ7+AK7</f>
        <v/>
      </c>
      <c r="AM7" s="115" t="n"/>
      <c r="AN7" s="115" t="n"/>
      <c r="AO7" s="115" t="n"/>
      <c r="AP7" s="116" t="n">
        <v>0</v>
      </c>
      <c r="AQ7" s="116">
        <f>AI7+AL7+AM7+AN7+AO7+AP7</f>
        <v/>
      </c>
      <c r="AR7" s="52" t="n"/>
      <c r="AS7" s="53" t="inlineStr">
        <is>
          <t>未填写项目</t>
        </is>
      </c>
      <c r="AT7" s="52" t="n"/>
      <c r="AU7" s="121" t="inlineStr">
        <is>
          <t>春苗北京</t>
        </is>
      </c>
      <c r="AV7" s="52" t="n"/>
      <c r="AW7" s="52" t="n"/>
      <c r="AX7" s="64" t="n">
        <v>11111111111</v>
      </c>
      <c r="AY7" s="52" t="n"/>
    </row>
    <row r="8" ht="21.95" customFormat="1" customHeight="1" s="90">
      <c r="A8" s="64" t="n">
        <v>3</v>
      </c>
      <c r="B8" s="119" t="inlineStr">
        <is>
          <t>员工4</t>
        </is>
      </c>
      <c r="C8" s="120" t="inlineStr">
        <is>
          <t>正式</t>
        </is>
      </c>
      <c r="D8" s="64" t="inlineStr">
        <is>
          <t>44132419860927333X</t>
        </is>
      </c>
      <c r="E8" s="116" t="n"/>
      <c r="F8" s="116" t="n"/>
      <c r="G8" s="116" t="n"/>
      <c r="H8" s="116" t="n"/>
      <c r="I8" s="116" t="n"/>
      <c r="J8" s="116" t="n"/>
      <c r="K8" s="116" t="n"/>
      <c r="L8" s="116" t="n">
        <v>500</v>
      </c>
      <c r="M8" s="116" t="n"/>
      <c r="N8" s="116" t="n"/>
      <c r="O8" s="116" t="n"/>
      <c r="P8" s="116">
        <f>ROUND(SUM(E8:L8)-SUM(M8:O8),2)</f>
        <v/>
      </c>
      <c r="Q8" s="116">
        <f>AF8</f>
        <v/>
      </c>
      <c r="R8" s="116" t="n">
        <v>0</v>
      </c>
      <c r="S8" s="116" t="n"/>
      <c r="T8" s="116">
        <f>ROUND(SUM(Q8:S8),2)</f>
        <v/>
      </c>
      <c r="U8" s="116">
        <f>ROUND(P8-T8,2)</f>
        <v/>
      </c>
      <c r="V8" s="116">
        <f>AQ8</f>
        <v/>
      </c>
      <c r="W8" s="116">
        <f>ROUND(T8+U8+V8,2)</f>
        <v/>
      </c>
      <c r="X8" s="115" t="n"/>
      <c r="Y8" s="115" t="n">
        <v>0</v>
      </c>
      <c r="Z8" s="115">
        <f>X8+Y8</f>
        <v/>
      </c>
      <c r="AA8" s="45" t="n"/>
      <c r="AB8" s="116" t="n">
        <v>0</v>
      </c>
      <c r="AC8" s="116">
        <f>AA8+AB8</f>
        <v/>
      </c>
      <c r="AD8" s="115" t="n"/>
      <c r="AE8" s="116" t="n">
        <v>0</v>
      </c>
      <c r="AF8" s="116">
        <f>Z8+AC8+AD8+AE8</f>
        <v/>
      </c>
      <c r="AG8" s="116" t="n"/>
      <c r="AH8" s="116" t="n">
        <v>0</v>
      </c>
      <c r="AI8" s="116">
        <f>AG8+AH8</f>
        <v/>
      </c>
      <c r="AJ8" s="115" t="n"/>
      <c r="AK8" s="116" t="n">
        <v>0</v>
      </c>
      <c r="AL8" s="115">
        <f>AJ8+AK8</f>
        <v/>
      </c>
      <c r="AM8" s="115" t="n"/>
      <c r="AN8" s="115" t="n"/>
      <c r="AO8" s="115" t="n"/>
      <c r="AP8" s="116" t="n">
        <v>0</v>
      </c>
      <c r="AQ8" s="116">
        <f>AI8+AL8+AM8+AN8+AO8+AP8</f>
        <v/>
      </c>
      <c r="AR8" s="52" t="n"/>
      <c r="AS8" s="53" t="inlineStr">
        <is>
          <t>未填写项目</t>
        </is>
      </c>
      <c r="AT8" s="52" t="n"/>
      <c r="AU8" s="121" t="inlineStr">
        <is>
          <t>春苗北京</t>
        </is>
      </c>
      <c r="AV8" s="52" t="n"/>
      <c r="AW8" s="52" t="n"/>
      <c r="AX8" s="64" t="n">
        <v>11111111111</v>
      </c>
      <c r="AY8" s="52" t="n"/>
    </row>
    <row r="9" ht="21.95" customHeight="1" s="110">
      <c r="A9" s="64" t="n">
        <v>4</v>
      </c>
      <c r="B9" s="119" t="inlineStr">
        <is>
          <t>员工5</t>
        </is>
      </c>
      <c r="C9" s="120" t="inlineStr">
        <is>
          <t>正式</t>
        </is>
      </c>
      <c r="D9" s="64" t="inlineStr">
        <is>
          <t>441624198008075211</t>
        </is>
      </c>
      <c r="E9" s="116" t="n"/>
      <c r="F9" s="116" t="n"/>
      <c r="G9" s="116" t="n"/>
      <c r="H9" s="116" t="n"/>
      <c r="I9" s="116" t="n"/>
      <c r="J9" s="116" t="n"/>
      <c r="K9" s="116" t="n"/>
      <c r="L9" s="116" t="n">
        <v>500</v>
      </c>
      <c r="M9" s="116" t="n"/>
      <c r="N9" s="116" t="n"/>
      <c r="O9" s="116" t="n"/>
      <c r="P9" s="116">
        <f>ROUND(SUM(E9:L9)-SUM(M9:O9),2)</f>
        <v/>
      </c>
      <c r="Q9" s="116">
        <f>AF9</f>
        <v/>
      </c>
      <c r="R9" s="116" t="n">
        <v>0</v>
      </c>
      <c r="S9" s="116" t="n"/>
      <c r="T9" s="116">
        <f>ROUND(SUM(Q9:S9),2)</f>
        <v/>
      </c>
      <c r="U9" s="116">
        <f>ROUND(P9-T9,2)</f>
        <v/>
      </c>
      <c r="V9" s="116">
        <f>AQ9</f>
        <v/>
      </c>
      <c r="W9" s="116">
        <f>ROUND(T9+U9+V9,2)</f>
        <v/>
      </c>
      <c r="X9" s="115" t="n"/>
      <c r="Y9" s="115" t="n">
        <v>0</v>
      </c>
      <c r="Z9" s="115">
        <f>X9+Y9</f>
        <v/>
      </c>
      <c r="AA9" s="45" t="n"/>
      <c r="AB9" s="116" t="n">
        <v>0</v>
      </c>
      <c r="AC9" s="116">
        <f>AA9+AB9</f>
        <v/>
      </c>
      <c r="AD9" s="115" t="n"/>
      <c r="AE9" s="116" t="n">
        <v>0</v>
      </c>
      <c r="AF9" s="116">
        <f>Z9+AC9+AD9+AE9</f>
        <v/>
      </c>
      <c r="AG9" s="116" t="n"/>
      <c r="AH9" s="116" t="n">
        <v>0</v>
      </c>
      <c r="AI9" s="116">
        <f>AG9+AH9</f>
        <v/>
      </c>
      <c r="AJ9" s="115" t="n"/>
      <c r="AK9" s="116" t="n">
        <v>0</v>
      </c>
      <c r="AL9" s="115">
        <f>AJ9+AK9</f>
        <v/>
      </c>
      <c r="AM9" s="115" t="n"/>
      <c r="AN9" s="115" t="n"/>
      <c r="AO9" s="115" t="n"/>
      <c r="AP9" s="116" t="n">
        <v>0</v>
      </c>
      <c r="AQ9" s="116">
        <f>AI9+AL9+AM9+AN9+AO9+AP9</f>
        <v/>
      </c>
      <c r="AR9" s="53" t="n"/>
      <c r="AS9" s="53" t="inlineStr">
        <is>
          <t>未填写项目</t>
        </is>
      </c>
      <c r="AT9" s="52" t="n"/>
      <c r="AU9" s="121" t="inlineStr">
        <is>
          <t>春苗北京</t>
        </is>
      </c>
      <c r="AV9" s="52" t="n"/>
      <c r="AW9" s="52" t="n"/>
      <c r="AX9" s="64" t="n">
        <v>11111111111</v>
      </c>
      <c r="AY9" s="52" t="n"/>
    </row>
    <row r="10" ht="21.95" customHeight="1" s="110">
      <c r="A10" s="64" t="n">
        <v>5</v>
      </c>
      <c r="B10" s="119" t="inlineStr">
        <is>
          <t>员工6</t>
        </is>
      </c>
      <c r="C10" s="120" t="inlineStr">
        <is>
          <t>正式</t>
        </is>
      </c>
      <c r="D10" s="64" t="inlineStr">
        <is>
          <t>441623197105100019</t>
        </is>
      </c>
      <c r="E10" s="116" t="n"/>
      <c r="F10" s="116" t="n"/>
      <c r="G10" s="116" t="n"/>
      <c r="H10" s="116" t="n"/>
      <c r="I10" s="116" t="n"/>
      <c r="J10" s="116" t="n"/>
      <c r="K10" s="116" t="n"/>
      <c r="L10" s="116" t="n">
        <v>500</v>
      </c>
      <c r="M10" s="116" t="n"/>
      <c r="N10" s="116" t="n"/>
      <c r="O10" s="116" t="n"/>
      <c r="P10" s="116">
        <f>ROUND(SUM(E10:L10)-SUM(M10:O10),2)</f>
        <v/>
      </c>
      <c r="Q10" s="116">
        <f>AF10</f>
        <v/>
      </c>
      <c r="R10" s="116" t="n"/>
      <c r="S10" s="116" t="n"/>
      <c r="T10" s="116">
        <f>ROUND(SUM(Q10:S10),2)</f>
        <v/>
      </c>
      <c r="U10" s="116">
        <f>ROUND(P10-T10,2)</f>
        <v/>
      </c>
      <c r="V10" s="116">
        <f>AQ10</f>
        <v/>
      </c>
      <c r="W10" s="116">
        <f>ROUND(T10+U10+V10,2)</f>
        <v/>
      </c>
      <c r="X10" s="115" t="n"/>
      <c r="Y10" s="115" t="n">
        <v>0</v>
      </c>
      <c r="Z10" s="115">
        <f>X10+Y10</f>
        <v/>
      </c>
      <c r="AA10" s="45" t="n"/>
      <c r="AB10" s="116" t="n">
        <v>0</v>
      </c>
      <c r="AC10" s="116">
        <f>AA10+AB10</f>
        <v/>
      </c>
      <c r="AD10" s="115" t="n"/>
      <c r="AE10" s="116" t="n">
        <v>0</v>
      </c>
      <c r="AF10" s="116">
        <f>Z10+AC10+AD10+AE10</f>
        <v/>
      </c>
      <c r="AG10" s="116" t="n"/>
      <c r="AH10" s="116" t="n">
        <v>0</v>
      </c>
      <c r="AI10" s="116">
        <f>AG10+AH10</f>
        <v/>
      </c>
      <c r="AJ10" s="115" t="n"/>
      <c r="AK10" s="116" t="n">
        <v>0</v>
      </c>
      <c r="AL10" s="115">
        <f>AJ10+AK10</f>
        <v/>
      </c>
      <c r="AM10" s="115" t="n"/>
      <c r="AN10" s="115" t="n"/>
      <c r="AO10" s="115" t="n"/>
      <c r="AP10" s="116" t="n">
        <v>0</v>
      </c>
      <c r="AQ10" s="116">
        <f>AI10+AL10+AM10+AN10+AO10+AP10</f>
        <v/>
      </c>
      <c r="AR10" s="53" t="n"/>
      <c r="AS10" s="53" t="inlineStr">
        <is>
          <t>未填写项目</t>
        </is>
      </c>
      <c r="AT10" s="52" t="n"/>
      <c r="AU10" s="121" t="inlineStr">
        <is>
          <t>春苗北京</t>
        </is>
      </c>
      <c r="AV10" s="52" t="n"/>
      <c r="AW10" s="52" t="n"/>
      <c r="AX10" s="64" t="n">
        <v>11111111111</v>
      </c>
      <c r="AY10" s="52" t="n"/>
    </row>
    <row r="11" ht="21.95" customHeight="1" s="110">
      <c r="A11" s="64" t="n">
        <v>6</v>
      </c>
      <c r="B11" s="119" t="inlineStr">
        <is>
          <t>员工7</t>
        </is>
      </c>
      <c r="C11" s="120" t="inlineStr">
        <is>
          <t>正式</t>
        </is>
      </c>
      <c r="D11" s="64" t="inlineStr">
        <is>
          <t>441622199501100312</t>
        </is>
      </c>
      <c r="E11" s="116" t="n"/>
      <c r="F11" s="116" t="n"/>
      <c r="G11" s="116" t="n"/>
      <c r="H11" s="116" t="n"/>
      <c r="I11" s="116" t="n"/>
      <c r="J11" s="116" t="n"/>
      <c r="K11" s="116" t="n"/>
      <c r="L11" s="116" t="n">
        <v>500</v>
      </c>
      <c r="M11" s="116" t="n"/>
      <c r="N11" s="116" t="n"/>
      <c r="O11" s="116" t="n"/>
      <c r="P11" s="116">
        <f>ROUND(SUM(E11:L11)-SUM(M11:O11),2)</f>
        <v/>
      </c>
      <c r="Q11" s="116">
        <f>AF11</f>
        <v/>
      </c>
      <c r="R11" s="116" t="n">
        <v>0</v>
      </c>
      <c r="S11" s="116" t="n"/>
      <c r="T11" s="116">
        <f>ROUND(SUM(Q11:S11),2)</f>
        <v/>
      </c>
      <c r="U11" s="116">
        <f>ROUND(P11-T11,2)</f>
        <v/>
      </c>
      <c r="V11" s="116">
        <f>AQ11</f>
        <v/>
      </c>
      <c r="W11" s="116">
        <f>ROUND(T11+U11+V11,2)</f>
        <v/>
      </c>
      <c r="X11" s="115" t="n"/>
      <c r="Y11" s="115" t="n">
        <v>0</v>
      </c>
      <c r="Z11" s="115">
        <f>X11+Y11</f>
        <v/>
      </c>
      <c r="AA11" s="45" t="n"/>
      <c r="AB11" s="116" t="n">
        <v>0</v>
      </c>
      <c r="AC11" s="116">
        <f>AA11+AB11</f>
        <v/>
      </c>
      <c r="AD11" s="115" t="n"/>
      <c r="AE11" s="116" t="n">
        <v>0</v>
      </c>
      <c r="AF11" s="116">
        <f>Z11+AC11+AD11+AE11</f>
        <v/>
      </c>
      <c r="AG11" s="116" t="n"/>
      <c r="AH11" s="116" t="n">
        <v>0</v>
      </c>
      <c r="AI11" s="116">
        <f>AG11+AH11</f>
        <v/>
      </c>
      <c r="AJ11" s="115" t="n"/>
      <c r="AK11" s="116" t="n">
        <v>0</v>
      </c>
      <c r="AL11" s="115">
        <f>AJ11+AK11</f>
        <v/>
      </c>
      <c r="AM11" s="115" t="n"/>
      <c r="AN11" s="115" t="n"/>
      <c r="AO11" s="115" t="n"/>
      <c r="AP11" s="116" t="n">
        <v>0</v>
      </c>
      <c r="AQ11" s="116">
        <f>AI11+AL11+AM11+AN11+AO11+AP11</f>
        <v/>
      </c>
      <c r="AR11" s="53" t="n"/>
      <c r="AS11" s="53" t="inlineStr">
        <is>
          <t>未填写项目</t>
        </is>
      </c>
      <c r="AT11" s="52" t="n"/>
      <c r="AU11" s="121" t="inlineStr">
        <is>
          <t>春苗北京</t>
        </is>
      </c>
      <c r="AV11" s="52" t="n"/>
      <c r="AW11" s="52" t="n"/>
      <c r="AX11" s="64" t="n">
        <v>11111111111</v>
      </c>
      <c r="AY11" s="52" t="n"/>
    </row>
    <row r="12" ht="21.95" customHeight="1" s="110">
      <c r="A12" s="64" t="n">
        <v>7</v>
      </c>
      <c r="B12" s="119" t="inlineStr">
        <is>
          <t>员工9</t>
        </is>
      </c>
      <c r="C12" s="122" t="inlineStr">
        <is>
          <t>正式</t>
        </is>
      </c>
      <c r="D12" s="56" t="inlineStr">
        <is>
          <t>441623198611131314</t>
        </is>
      </c>
      <c r="E12" s="116" t="n"/>
      <c r="F12" s="116" t="n"/>
      <c r="G12" s="116" t="n"/>
      <c r="H12" s="116" t="n"/>
      <c r="I12" s="116" t="n"/>
      <c r="J12" s="116" t="n"/>
      <c r="K12" s="116" t="n"/>
      <c r="L12" s="116" t="n">
        <v>500</v>
      </c>
      <c r="M12" s="116" t="n"/>
      <c r="N12" s="116" t="n"/>
      <c r="O12" s="116" t="n"/>
      <c r="P12" s="116">
        <f>ROUND(SUM(E12:L12)-SUM(M12:O12),2)</f>
        <v/>
      </c>
      <c r="Q12" s="116">
        <f>AF12</f>
        <v/>
      </c>
      <c r="R12" s="116" t="n"/>
      <c r="S12" s="116" t="n"/>
      <c r="T12" s="116">
        <f>ROUND(SUM(Q12:S12),2)</f>
        <v/>
      </c>
      <c r="U12" s="116">
        <f>ROUND(P12-T12,2)</f>
        <v/>
      </c>
      <c r="V12" s="116">
        <f>AQ12</f>
        <v/>
      </c>
      <c r="W12" s="116">
        <f>ROUND(T12+U12+V12,2)</f>
        <v/>
      </c>
      <c r="X12" s="115" t="n"/>
      <c r="Y12" s="115" t="n">
        <v>0</v>
      </c>
      <c r="Z12" s="115">
        <f>X12+Y12</f>
        <v/>
      </c>
      <c r="AA12" s="45" t="n"/>
      <c r="AB12" s="116" t="n">
        <v>0</v>
      </c>
      <c r="AC12" s="116">
        <f>AA12+AB12</f>
        <v/>
      </c>
      <c r="AD12" s="115" t="n"/>
      <c r="AE12" s="116" t="n">
        <v>0</v>
      </c>
      <c r="AF12" s="116">
        <f>Z12+AC12+AD12+AE12</f>
        <v/>
      </c>
      <c r="AG12" s="116" t="n"/>
      <c r="AH12" s="116" t="n">
        <v>0</v>
      </c>
      <c r="AI12" s="116">
        <f>AG12+AH12</f>
        <v/>
      </c>
      <c r="AJ12" s="115" t="n"/>
      <c r="AK12" s="116" t="n">
        <v>0</v>
      </c>
      <c r="AL12" s="115">
        <f>AJ12+AK12</f>
        <v/>
      </c>
      <c r="AM12" s="115" t="n"/>
      <c r="AN12" s="115" t="n"/>
      <c r="AO12" s="115" t="n"/>
      <c r="AP12" s="116" t="n">
        <v>0</v>
      </c>
      <c r="AQ12" s="116">
        <f>AI12+AL12+AM12+AN12+AO12+AP12</f>
        <v/>
      </c>
      <c r="AR12" s="53" t="n"/>
      <c r="AS12" s="53" t="inlineStr">
        <is>
          <t>未填写项目</t>
        </is>
      </c>
      <c r="AT12" s="53" t="n"/>
      <c r="AU12" s="121" t="inlineStr">
        <is>
          <t>春苗北京</t>
        </is>
      </c>
      <c r="AV12" s="52" t="n"/>
      <c r="AW12" s="52" t="n"/>
      <c r="AX12" s="64" t="n">
        <v>11111111111</v>
      </c>
      <c r="AY12" s="52" t="n"/>
    </row>
    <row r="13" ht="21.95" customFormat="1" customHeight="1" s="90">
      <c r="A13" s="64" t="n">
        <v>8</v>
      </c>
      <c r="B13" s="119" t="inlineStr">
        <is>
          <t>员工10</t>
        </is>
      </c>
      <c r="C13" s="122" t="inlineStr">
        <is>
          <t>正式</t>
        </is>
      </c>
      <c r="D13" s="56" t="inlineStr">
        <is>
          <t>441623197310283715</t>
        </is>
      </c>
      <c r="E13" s="116" t="n"/>
      <c r="F13" s="116" t="n"/>
      <c r="G13" s="116" t="n"/>
      <c r="H13" s="116" t="n"/>
      <c r="I13" s="116" t="n"/>
      <c r="J13" s="116" t="n"/>
      <c r="K13" s="116" t="n"/>
      <c r="L13" s="116" t="n">
        <v>500</v>
      </c>
      <c r="M13" s="116" t="n"/>
      <c r="N13" s="116" t="n"/>
      <c r="O13" s="116" t="n"/>
      <c r="P13" s="116">
        <f>ROUND(SUM(E13:L13)-SUM(M13:O13),2)</f>
        <v/>
      </c>
      <c r="Q13" s="116">
        <f>AF13</f>
        <v/>
      </c>
      <c r="R13" s="116" t="n">
        <v>0</v>
      </c>
      <c r="S13" s="116" t="n"/>
      <c r="T13" s="116">
        <f>ROUND(SUM(Q13:S13),2)</f>
        <v/>
      </c>
      <c r="U13" s="116">
        <f>ROUND(P13-T13,2)</f>
        <v/>
      </c>
      <c r="V13" s="116">
        <f>AQ13</f>
        <v/>
      </c>
      <c r="W13" s="116">
        <f>ROUND(T13+U13+V13,2)</f>
        <v/>
      </c>
      <c r="X13" s="115" t="n"/>
      <c r="Y13" s="115" t="n">
        <v>0</v>
      </c>
      <c r="Z13" s="115">
        <f>X13+Y13</f>
        <v/>
      </c>
      <c r="AA13" s="45" t="n"/>
      <c r="AB13" s="116" t="n">
        <v>0</v>
      </c>
      <c r="AC13" s="116">
        <f>AA13+AB13</f>
        <v/>
      </c>
      <c r="AD13" s="115" t="n"/>
      <c r="AE13" s="116" t="n">
        <v>0</v>
      </c>
      <c r="AF13" s="116">
        <f>Z13+AC13+AD13+AE13</f>
        <v/>
      </c>
      <c r="AG13" s="116" t="n"/>
      <c r="AH13" s="116" t="n">
        <v>0</v>
      </c>
      <c r="AI13" s="116">
        <f>AG13+AH13</f>
        <v/>
      </c>
      <c r="AJ13" s="115" t="n"/>
      <c r="AK13" s="116" t="n">
        <v>0</v>
      </c>
      <c r="AL13" s="115">
        <f>AJ13+AK13</f>
        <v/>
      </c>
      <c r="AM13" s="115" t="n"/>
      <c r="AN13" s="115" t="n"/>
      <c r="AO13" s="115" t="n"/>
      <c r="AP13" s="116" t="n">
        <v>0</v>
      </c>
      <c r="AQ13" s="116">
        <f>AI13+AL13+AM13+AN13+AO13+AP13</f>
        <v/>
      </c>
      <c r="AR13" s="53" t="n"/>
      <c r="AS13" s="53" t="inlineStr">
        <is>
          <t>未填写项目</t>
        </is>
      </c>
      <c r="AT13" s="53" t="n"/>
      <c r="AU13" s="121" t="inlineStr">
        <is>
          <t>春苗北京</t>
        </is>
      </c>
      <c r="AV13" s="52" t="n"/>
      <c r="AW13" s="52" t="n"/>
      <c r="AX13" s="64" t="n">
        <v>11111111111</v>
      </c>
      <c r="AY13" s="52" t="n"/>
    </row>
    <row r="14" ht="21.95" customFormat="1" customHeight="1" s="90">
      <c r="A14" s="64" t="n">
        <v>9</v>
      </c>
      <c r="B14" s="119" t="inlineStr">
        <is>
          <t>员工11</t>
        </is>
      </c>
      <c r="C14" s="122" t="inlineStr">
        <is>
          <t>正式</t>
        </is>
      </c>
      <c r="D14" s="56" t="inlineStr">
        <is>
          <t>441623197808030010</t>
        </is>
      </c>
      <c r="E14" s="116" t="n"/>
      <c r="F14" s="116" t="n"/>
      <c r="G14" s="116" t="n"/>
      <c r="H14" s="116" t="n"/>
      <c r="I14" s="116" t="n"/>
      <c r="J14" s="116" t="n"/>
      <c r="K14" s="116" t="n"/>
      <c r="L14" s="116" t="n">
        <v>500</v>
      </c>
      <c r="M14" s="116" t="n"/>
      <c r="N14" s="116" t="n"/>
      <c r="O14" s="116" t="n"/>
      <c r="P14" s="116">
        <f>ROUND(SUM(E14:L14)-SUM(M14:O14),2)</f>
        <v/>
      </c>
      <c r="Q14" s="116">
        <f>AF14</f>
        <v/>
      </c>
      <c r="R14" s="116" t="n">
        <v>0</v>
      </c>
      <c r="S14" s="116" t="n"/>
      <c r="T14" s="116">
        <f>ROUND(SUM(Q14:S14),2)</f>
        <v/>
      </c>
      <c r="U14" s="116">
        <f>ROUND(P14-T14,2)</f>
        <v/>
      </c>
      <c r="V14" s="116">
        <f>AQ14</f>
        <v/>
      </c>
      <c r="W14" s="116">
        <f>ROUND(T14+U14+V14,2)</f>
        <v/>
      </c>
      <c r="X14" s="115" t="n"/>
      <c r="Y14" s="115" t="n">
        <v>0</v>
      </c>
      <c r="Z14" s="115">
        <f>X14+Y14</f>
        <v/>
      </c>
      <c r="AA14" s="45" t="n"/>
      <c r="AB14" s="116" t="n">
        <v>0</v>
      </c>
      <c r="AC14" s="116">
        <f>AA14+AB14</f>
        <v/>
      </c>
      <c r="AD14" s="115" t="n"/>
      <c r="AE14" s="116" t="n">
        <v>0</v>
      </c>
      <c r="AF14" s="116">
        <f>Z14+AC14+AD14+AE14</f>
        <v/>
      </c>
      <c r="AG14" s="116" t="n"/>
      <c r="AH14" s="116" t="n">
        <v>0</v>
      </c>
      <c r="AI14" s="116">
        <f>AG14+AH14</f>
        <v/>
      </c>
      <c r="AJ14" s="115" t="n"/>
      <c r="AK14" s="116" t="n">
        <v>0</v>
      </c>
      <c r="AL14" s="115">
        <f>AJ14+AK14</f>
        <v/>
      </c>
      <c r="AM14" s="115" t="n"/>
      <c r="AN14" s="115" t="n"/>
      <c r="AO14" s="115" t="n"/>
      <c r="AP14" s="116" t="n">
        <v>0</v>
      </c>
      <c r="AQ14" s="116">
        <f>AI14+AL14+AM14+AN14+AO14+AP14</f>
        <v/>
      </c>
      <c r="AR14" s="53" t="n"/>
      <c r="AS14" s="53" t="inlineStr">
        <is>
          <t>未填写项目</t>
        </is>
      </c>
      <c r="AT14" s="53" t="n"/>
      <c r="AU14" s="121" t="inlineStr">
        <is>
          <t>春苗北京</t>
        </is>
      </c>
      <c r="AV14" s="52" t="n"/>
      <c r="AW14" s="52" t="n"/>
      <c r="AX14" s="64" t="n">
        <v>11111111111</v>
      </c>
      <c r="AY14" s="52" t="n"/>
    </row>
    <row r="15" ht="21.95" customFormat="1" customHeight="1" s="90">
      <c r="A15" s="64" t="n">
        <v>10</v>
      </c>
      <c r="B15" s="119" t="inlineStr">
        <is>
          <t>员工12</t>
        </is>
      </c>
      <c r="C15" s="120" t="inlineStr">
        <is>
          <t>正式</t>
        </is>
      </c>
      <c r="D15" s="64" t="inlineStr">
        <is>
          <t>441624197909130551</t>
        </is>
      </c>
      <c r="E15" s="116" t="n"/>
      <c r="F15" s="116" t="n"/>
      <c r="G15" s="116" t="n"/>
      <c r="H15" s="116" t="n"/>
      <c r="I15" s="116" t="n"/>
      <c r="J15" s="116" t="n"/>
      <c r="K15" s="116" t="n"/>
      <c r="L15" s="116" t="n">
        <v>500</v>
      </c>
      <c r="M15" s="116" t="n"/>
      <c r="N15" s="116" t="n"/>
      <c r="O15" s="116" t="n"/>
      <c r="P15" s="116">
        <f>ROUND(SUM(E15:L15)-SUM(M15:O15),2)</f>
        <v/>
      </c>
      <c r="Q15" s="116">
        <f>AF15</f>
        <v/>
      </c>
      <c r="R15" s="116" t="n"/>
      <c r="S15" s="116" t="n"/>
      <c r="T15" s="116">
        <f>ROUND(SUM(Q15:S15),2)</f>
        <v/>
      </c>
      <c r="U15" s="116">
        <f>ROUND(P15-T15,2)</f>
        <v/>
      </c>
      <c r="V15" s="116">
        <f>AQ15</f>
        <v/>
      </c>
      <c r="W15" s="116">
        <f>ROUND(T15+U15+V15,2)</f>
        <v/>
      </c>
      <c r="X15" s="115" t="n"/>
      <c r="Y15" s="115" t="n">
        <v>0</v>
      </c>
      <c r="Z15" s="115">
        <f>X15+Y15</f>
        <v/>
      </c>
      <c r="AA15" s="45" t="n"/>
      <c r="AB15" s="116" t="n">
        <v>0</v>
      </c>
      <c r="AC15" s="116">
        <f>AA15+AB15</f>
        <v/>
      </c>
      <c r="AD15" s="115" t="n"/>
      <c r="AE15" s="116" t="n">
        <v>0</v>
      </c>
      <c r="AF15" s="116">
        <f>Z15+AC15+AD15+AE15</f>
        <v/>
      </c>
      <c r="AG15" s="116" t="n"/>
      <c r="AH15" s="116" t="n">
        <v>0</v>
      </c>
      <c r="AI15" s="116">
        <f>AG15+AH15</f>
        <v/>
      </c>
      <c r="AJ15" s="115" t="n"/>
      <c r="AK15" s="116" t="n">
        <v>0</v>
      </c>
      <c r="AL15" s="115">
        <f>AJ15+AK15</f>
        <v/>
      </c>
      <c r="AM15" s="115" t="n"/>
      <c r="AN15" s="115" t="n"/>
      <c r="AO15" s="115" t="n"/>
      <c r="AP15" s="116" t="n">
        <v>0</v>
      </c>
      <c r="AQ15" s="116">
        <f>AI15+AL15+AM15+AN15+AO15+AP15</f>
        <v/>
      </c>
      <c r="AR15" s="53" t="n"/>
      <c r="AS15" s="53" t="inlineStr">
        <is>
          <t>未填写项目</t>
        </is>
      </c>
      <c r="AT15" s="52" t="n"/>
      <c r="AU15" s="121" t="inlineStr">
        <is>
          <t>春苗北京</t>
        </is>
      </c>
      <c r="AV15" s="52" t="n"/>
      <c r="AW15" s="52" t="n"/>
      <c r="AX15" s="64" t="n">
        <v>11111111111</v>
      </c>
      <c r="AY15" s="52" t="n"/>
    </row>
    <row r="16" ht="21.95" customFormat="1" customHeight="1" s="90">
      <c r="A16" s="64" t="n">
        <v>11</v>
      </c>
      <c r="B16" s="119" t="inlineStr">
        <is>
          <t>员工13</t>
        </is>
      </c>
      <c r="C16" s="120" t="inlineStr">
        <is>
          <t>正式</t>
        </is>
      </c>
      <c r="D16" s="56" t="inlineStr">
        <is>
          <t>441624199703064113</t>
        </is>
      </c>
      <c r="E16" s="116" t="n"/>
      <c r="F16" s="116" t="n"/>
      <c r="G16" s="116" t="n"/>
      <c r="H16" s="116" t="n"/>
      <c r="I16" s="116" t="n"/>
      <c r="J16" s="116" t="n"/>
      <c r="K16" s="116" t="n"/>
      <c r="L16" s="116" t="n">
        <v>500</v>
      </c>
      <c r="M16" s="116" t="n"/>
      <c r="N16" s="116" t="n"/>
      <c r="O16" s="116" t="n"/>
      <c r="P16" s="116">
        <f>ROUND(SUM(E16:L16)-SUM(M16:O16),2)</f>
        <v/>
      </c>
      <c r="Q16" s="116">
        <f>AF16</f>
        <v/>
      </c>
      <c r="R16" s="116" t="n"/>
      <c r="S16" s="116" t="n"/>
      <c r="T16" s="116" t="n"/>
      <c r="U16" s="116">
        <f>ROUND(P16-T16,2)</f>
        <v/>
      </c>
      <c r="V16" s="116" t="n"/>
      <c r="W16" s="116">
        <f>ROUND(T16+U16+V16,2)</f>
        <v/>
      </c>
      <c r="X16" s="115" t="n"/>
      <c r="Y16" s="115" t="n">
        <v>0</v>
      </c>
      <c r="Z16" s="115">
        <f>X16+Y16</f>
        <v/>
      </c>
      <c r="AA16" s="45" t="n"/>
      <c r="AB16" s="116" t="n">
        <v>0</v>
      </c>
      <c r="AC16" s="116">
        <f>AA16+AB16</f>
        <v/>
      </c>
      <c r="AD16" s="115" t="n"/>
      <c r="AE16" s="116" t="n">
        <v>0</v>
      </c>
      <c r="AF16" s="116">
        <f>Z16+AC16+AD16+AE16</f>
        <v/>
      </c>
      <c r="AG16" s="116" t="n"/>
      <c r="AH16" s="116" t="n">
        <v>0</v>
      </c>
      <c r="AI16" s="116">
        <f>AG16+AH16</f>
        <v/>
      </c>
      <c r="AJ16" s="115" t="n"/>
      <c r="AK16" s="116" t="n">
        <v>0</v>
      </c>
      <c r="AL16" s="115">
        <f>AJ16+AK16</f>
        <v/>
      </c>
      <c r="AM16" s="115" t="n"/>
      <c r="AN16" s="115" t="n"/>
      <c r="AO16" s="115" t="n"/>
      <c r="AP16" s="116" t="n">
        <v>0</v>
      </c>
      <c r="AQ16" s="116">
        <f>AI16+AL16+AM16+AN16+AO16+AP16</f>
        <v/>
      </c>
      <c r="AR16" s="53" t="n"/>
      <c r="AS16" s="53" t="inlineStr">
        <is>
          <t>未填写项目</t>
        </is>
      </c>
      <c r="AT16" s="52" t="n"/>
      <c r="AU16" s="121" t="inlineStr">
        <is>
          <t>春苗北京</t>
        </is>
      </c>
      <c r="AV16" s="52" t="n"/>
      <c r="AW16" s="52" t="n"/>
      <c r="AX16" s="64" t="n">
        <v>11111111111</v>
      </c>
      <c r="AY16" s="52" t="n"/>
    </row>
    <row r="17" ht="21.95" customFormat="1" customHeight="1" s="90">
      <c r="A17" s="64" t="n">
        <v>12</v>
      </c>
      <c r="B17" s="119" t="inlineStr">
        <is>
          <t>员工14</t>
        </is>
      </c>
      <c r="C17" s="120" t="inlineStr">
        <is>
          <t>正式</t>
        </is>
      </c>
      <c r="D17" s="56" t="inlineStr">
        <is>
          <t>441624198612314119</t>
        </is>
      </c>
      <c r="E17" s="116" t="n"/>
      <c r="F17" s="116" t="n"/>
      <c r="G17" s="116" t="n"/>
      <c r="H17" s="116" t="n"/>
      <c r="I17" s="116" t="n"/>
      <c r="J17" s="116" t="n"/>
      <c r="K17" s="116" t="n"/>
      <c r="L17" s="116" t="n">
        <v>500</v>
      </c>
      <c r="M17" s="116" t="n"/>
      <c r="N17" s="116" t="n"/>
      <c r="O17" s="116" t="n"/>
      <c r="P17" s="116">
        <f>ROUND(SUM(E17:L17)-SUM(M17:O17),2)</f>
        <v/>
      </c>
      <c r="Q17" s="116">
        <f>AF17</f>
        <v/>
      </c>
      <c r="R17" s="116" t="n"/>
      <c r="S17" s="116" t="n"/>
      <c r="T17" s="116" t="n"/>
      <c r="U17" s="116">
        <f>ROUND(P17-T17,2)</f>
        <v/>
      </c>
      <c r="V17" s="116" t="n"/>
      <c r="W17" s="116">
        <f>ROUND(T17+U17+V17,2)</f>
        <v/>
      </c>
      <c r="X17" s="115" t="n"/>
      <c r="Y17" s="115" t="n">
        <v>0</v>
      </c>
      <c r="Z17" s="115">
        <f>X17+Y17</f>
        <v/>
      </c>
      <c r="AA17" s="45" t="n"/>
      <c r="AB17" s="116" t="n">
        <v>0</v>
      </c>
      <c r="AC17" s="116">
        <f>AA17+AB17</f>
        <v/>
      </c>
      <c r="AD17" s="115" t="n"/>
      <c r="AE17" s="116" t="n">
        <v>0</v>
      </c>
      <c r="AF17" s="116">
        <f>Z17+AC17+AD17+AE17</f>
        <v/>
      </c>
      <c r="AG17" s="116" t="n"/>
      <c r="AH17" s="116" t="n">
        <v>0</v>
      </c>
      <c r="AI17" s="116">
        <f>AG17+AH17</f>
        <v/>
      </c>
      <c r="AJ17" s="115" t="n"/>
      <c r="AK17" s="116" t="n">
        <v>0</v>
      </c>
      <c r="AL17" s="115">
        <f>AJ17+AK17</f>
        <v/>
      </c>
      <c r="AM17" s="115" t="n"/>
      <c r="AN17" s="115" t="n"/>
      <c r="AO17" s="115" t="n"/>
      <c r="AP17" s="116" t="n">
        <v>0</v>
      </c>
      <c r="AQ17" s="116">
        <f>AI17+AL17+AM17+AN17+AO17+AP17</f>
        <v/>
      </c>
      <c r="AR17" s="53" t="n"/>
      <c r="AS17" s="53" t="inlineStr">
        <is>
          <t>未填写项目</t>
        </is>
      </c>
      <c r="AT17" s="52" t="n"/>
      <c r="AU17" s="121" t="inlineStr">
        <is>
          <t>春苗北京</t>
        </is>
      </c>
      <c r="AV17" s="52" t="n"/>
      <c r="AW17" s="52" t="n"/>
      <c r="AX17" s="64" t="n">
        <v>11111111111</v>
      </c>
      <c r="AY17" s="52" t="n"/>
    </row>
    <row r="18" ht="21.95" customFormat="1" customHeight="1" s="90">
      <c r="A18" s="64" t="n">
        <v>13</v>
      </c>
      <c r="B18" s="119" t="inlineStr">
        <is>
          <t>员工16</t>
        </is>
      </c>
      <c r="C18" s="120" t="inlineStr">
        <is>
          <t>正式</t>
        </is>
      </c>
      <c r="D18" s="64" t="inlineStr">
        <is>
          <t>441622198706050633</t>
        </is>
      </c>
      <c r="E18" s="116" t="n"/>
      <c r="F18" s="116" t="n"/>
      <c r="G18" s="116" t="n"/>
      <c r="H18" s="116" t="n"/>
      <c r="I18" s="116" t="n"/>
      <c r="J18" s="116" t="n"/>
      <c r="K18" s="116" t="n"/>
      <c r="L18" s="116" t="n">
        <v>500</v>
      </c>
      <c r="M18" s="116" t="n"/>
      <c r="N18" s="116" t="n"/>
      <c r="O18" s="116" t="n"/>
      <c r="P18" s="116">
        <f>ROUND(SUM(E18:L18)-SUM(M18:O18),2)</f>
        <v/>
      </c>
      <c r="Q18" s="116">
        <f>AF18</f>
        <v/>
      </c>
      <c r="R18" s="116" t="n">
        <v>0</v>
      </c>
      <c r="S18" s="116" t="n"/>
      <c r="T18" s="116">
        <f>ROUND(SUM(Q18:S18),2)</f>
        <v/>
      </c>
      <c r="U18" s="116">
        <f>ROUND(P18-T18,2)</f>
        <v/>
      </c>
      <c r="V18" s="116">
        <f>AQ18</f>
        <v/>
      </c>
      <c r="W18" s="116">
        <f>ROUND(T18+U18+V18,2)</f>
        <v/>
      </c>
      <c r="X18" s="115" t="n"/>
      <c r="Y18" s="115" t="n">
        <v>0</v>
      </c>
      <c r="Z18" s="115">
        <f>X18+Y18</f>
        <v/>
      </c>
      <c r="AA18" s="45" t="n"/>
      <c r="AB18" s="116" t="n">
        <v>0</v>
      </c>
      <c r="AC18" s="116">
        <f>AA18+AB18</f>
        <v/>
      </c>
      <c r="AD18" s="115" t="n"/>
      <c r="AE18" s="116" t="n">
        <v>0</v>
      </c>
      <c r="AF18" s="116">
        <f>Z18+AC18+AD18+AE18</f>
        <v/>
      </c>
      <c r="AG18" s="116" t="n"/>
      <c r="AH18" s="116" t="n">
        <v>0</v>
      </c>
      <c r="AI18" s="116">
        <f>AG18+AH18</f>
        <v/>
      </c>
      <c r="AJ18" s="115" t="n"/>
      <c r="AK18" s="116" t="n">
        <v>0</v>
      </c>
      <c r="AL18" s="115">
        <f>AJ18+AK18</f>
        <v/>
      </c>
      <c r="AM18" s="115" t="n"/>
      <c r="AN18" s="115" t="n"/>
      <c r="AO18" s="115" t="n"/>
      <c r="AP18" s="116" t="n">
        <v>0</v>
      </c>
      <c r="AQ18" s="116">
        <f>AI18+AL18+AM18+AN18+AO18+AP18</f>
        <v/>
      </c>
      <c r="AR18" s="53" t="n"/>
      <c r="AS18" s="53" t="inlineStr">
        <is>
          <t>未填写项目</t>
        </is>
      </c>
      <c r="AT18" s="52" t="n"/>
      <c r="AU18" s="121" t="inlineStr">
        <is>
          <t>春苗北京</t>
        </is>
      </c>
      <c r="AV18" s="52" t="n"/>
      <c r="AW18" s="52" t="n"/>
      <c r="AX18" s="64" t="n">
        <v>11111111111</v>
      </c>
      <c r="AY18" s="52" t="n"/>
    </row>
    <row r="19" ht="22" customFormat="1" customHeight="1" s="90">
      <c r="A19" s="64" t="n">
        <v>14</v>
      </c>
      <c r="B19" s="119" t="inlineStr">
        <is>
          <t>员工17</t>
        </is>
      </c>
      <c r="C19" s="120" t="inlineStr">
        <is>
          <t>正式</t>
        </is>
      </c>
      <c r="D19" s="64" t="inlineStr">
        <is>
          <t>44162219870415667x</t>
        </is>
      </c>
      <c r="E19" s="116" t="n"/>
      <c r="F19" s="116" t="n"/>
      <c r="G19" s="116" t="n"/>
      <c r="H19" s="116" t="n"/>
      <c r="I19" s="116" t="n"/>
      <c r="J19" s="116" t="n"/>
      <c r="K19" s="116" t="n"/>
      <c r="L19" s="116" t="n">
        <v>500</v>
      </c>
      <c r="M19" s="116" t="n"/>
      <c r="N19" s="116" t="n"/>
      <c r="O19" s="116" t="n"/>
      <c r="P19" s="116">
        <f>ROUND(SUM(E19:L19)-SUM(M19:O19),2)</f>
        <v/>
      </c>
      <c r="Q19" s="116">
        <f>AF19</f>
        <v/>
      </c>
      <c r="R19" s="116" t="n">
        <v>0</v>
      </c>
      <c r="S19" s="116" t="n"/>
      <c r="T19" s="116">
        <f>ROUND(SUM(Q19:S19),2)</f>
        <v/>
      </c>
      <c r="U19" s="116">
        <f>ROUND(P19-T19,2)</f>
        <v/>
      </c>
      <c r="V19" s="116">
        <f>AQ19</f>
        <v/>
      </c>
      <c r="W19" s="116">
        <f>ROUND(T19+U19+V19,2)</f>
        <v/>
      </c>
      <c r="X19" s="115" t="n"/>
      <c r="Y19" s="115" t="n">
        <v>0</v>
      </c>
      <c r="Z19" s="115">
        <f>X19+Y19</f>
        <v/>
      </c>
      <c r="AA19" s="45" t="n"/>
      <c r="AB19" s="116" t="n">
        <v>0</v>
      </c>
      <c r="AC19" s="116">
        <f>AA19+AB19</f>
        <v/>
      </c>
      <c r="AD19" s="115" t="n"/>
      <c r="AE19" s="116" t="n">
        <v>0</v>
      </c>
      <c r="AF19" s="116">
        <f>Z19+AC19+AD19+AE19</f>
        <v/>
      </c>
      <c r="AG19" s="116" t="n"/>
      <c r="AH19" s="116" t="n">
        <v>0</v>
      </c>
      <c r="AI19" s="116">
        <f>AG19+AH19</f>
        <v/>
      </c>
      <c r="AJ19" s="115" t="n"/>
      <c r="AK19" s="116" t="n">
        <v>0</v>
      </c>
      <c r="AL19" s="115">
        <f>AJ19+AK19</f>
        <v/>
      </c>
      <c r="AM19" s="115" t="n"/>
      <c r="AN19" s="115" t="n"/>
      <c r="AO19" s="115" t="n"/>
      <c r="AP19" s="116" t="n">
        <v>0</v>
      </c>
      <c r="AQ19" s="116">
        <f>AI19+AL19+AM19+AN19+AO19+AP19</f>
        <v/>
      </c>
      <c r="AR19" s="53" t="n"/>
      <c r="AS19" s="53" t="inlineStr">
        <is>
          <t>未填写项目</t>
        </is>
      </c>
      <c r="AT19" s="52" t="n"/>
      <c r="AU19" s="121" t="inlineStr">
        <is>
          <t>春苗北京</t>
        </is>
      </c>
      <c r="AV19" s="52" t="n"/>
      <c r="AW19" s="52" t="n"/>
      <c r="AX19" s="64" t="n">
        <v>11111111111</v>
      </c>
      <c r="AY19" s="52" t="n"/>
    </row>
    <row r="20" ht="21.95" customFormat="1" customHeight="1" s="1">
      <c r="A20" s="64" t="n">
        <v>15</v>
      </c>
      <c r="B20" s="119" t="inlineStr">
        <is>
          <t>员工18</t>
        </is>
      </c>
      <c r="C20" s="120" t="inlineStr">
        <is>
          <t>正式</t>
        </is>
      </c>
      <c r="D20" s="64" t="inlineStr">
        <is>
          <t>441622197608060796</t>
        </is>
      </c>
      <c r="E20" s="116" t="n"/>
      <c r="F20" s="116" t="n"/>
      <c r="G20" s="116" t="n"/>
      <c r="H20" s="116" t="n"/>
      <c r="I20" s="116" t="n"/>
      <c r="J20" s="116" t="n"/>
      <c r="K20" s="116" t="n"/>
      <c r="L20" s="116" t="n">
        <v>500</v>
      </c>
      <c r="M20" s="116" t="n"/>
      <c r="N20" s="116" t="n"/>
      <c r="O20" s="116" t="n"/>
      <c r="P20" s="116">
        <f>ROUND(SUM(E20:L20)-SUM(M20:O20),2)</f>
        <v/>
      </c>
      <c r="Q20" s="116">
        <f>AF20</f>
        <v/>
      </c>
      <c r="R20" s="116" t="n">
        <v>0</v>
      </c>
      <c r="S20" s="116" t="n"/>
      <c r="T20" s="116">
        <f>ROUND(SUM(Q20:S20),2)</f>
        <v/>
      </c>
      <c r="U20" s="116">
        <f>ROUND(P20-T20,2)</f>
        <v/>
      </c>
      <c r="V20" s="116">
        <f>AQ20</f>
        <v/>
      </c>
      <c r="W20" s="116">
        <f>ROUND(T20+U20+V20,2)</f>
        <v/>
      </c>
      <c r="X20" s="115" t="n"/>
      <c r="Y20" s="115" t="n">
        <v>0</v>
      </c>
      <c r="Z20" s="115">
        <f>X20+Y20</f>
        <v/>
      </c>
      <c r="AA20" s="45" t="n"/>
      <c r="AB20" s="116" t="n">
        <v>0</v>
      </c>
      <c r="AC20" s="116">
        <f>AA20+AB20</f>
        <v/>
      </c>
      <c r="AD20" s="115" t="n"/>
      <c r="AE20" s="116" t="n">
        <v>0</v>
      </c>
      <c r="AF20" s="116">
        <f>Z20+AC20+AD20+AE20</f>
        <v/>
      </c>
      <c r="AG20" s="116" t="n"/>
      <c r="AH20" s="116" t="n">
        <v>0</v>
      </c>
      <c r="AI20" s="116">
        <f>AG20+AH20</f>
        <v/>
      </c>
      <c r="AJ20" s="115" t="n"/>
      <c r="AK20" s="116" t="n">
        <v>0</v>
      </c>
      <c r="AL20" s="115">
        <f>AJ20+AK20</f>
        <v/>
      </c>
      <c r="AM20" s="115" t="n"/>
      <c r="AN20" s="115" t="n"/>
      <c r="AO20" s="115" t="n"/>
      <c r="AP20" s="116" t="n">
        <v>0</v>
      </c>
      <c r="AQ20" s="116">
        <f>AI20+AL20+AM20+AN20+AO20+AP20</f>
        <v/>
      </c>
      <c r="AR20" s="53" t="n"/>
      <c r="AS20" s="53" t="inlineStr">
        <is>
          <t>未填写项目</t>
        </is>
      </c>
      <c r="AT20" s="52" t="n"/>
      <c r="AU20" s="121" t="inlineStr">
        <is>
          <t>春苗北京</t>
        </is>
      </c>
      <c r="AV20" s="52" t="n"/>
      <c r="AW20" s="52" t="n"/>
      <c r="AX20" s="64" t="n">
        <v>11111111111</v>
      </c>
      <c r="AY20" s="52" t="n"/>
    </row>
    <row r="21" ht="21.95" customHeight="1" s="110">
      <c r="A21" s="64" t="n">
        <v>16</v>
      </c>
      <c r="B21" s="119" t="inlineStr">
        <is>
          <t>员工19</t>
        </is>
      </c>
      <c r="C21" s="120" t="inlineStr">
        <is>
          <t>正式</t>
        </is>
      </c>
      <c r="D21" s="64" t="inlineStr">
        <is>
          <t>441624197210285533</t>
        </is>
      </c>
      <c r="E21" s="116" t="n"/>
      <c r="F21" s="116" t="n"/>
      <c r="G21" s="116" t="n"/>
      <c r="H21" s="116" t="n"/>
      <c r="I21" s="116" t="n"/>
      <c r="J21" s="116" t="n"/>
      <c r="K21" s="116" t="n"/>
      <c r="L21" s="116" t="n">
        <v>500</v>
      </c>
      <c r="M21" s="116" t="n"/>
      <c r="N21" s="116" t="n"/>
      <c r="O21" s="116" t="n"/>
      <c r="P21" s="116">
        <f>ROUND(SUM(E21:L21)-SUM(M21:O21),2)</f>
        <v/>
      </c>
      <c r="Q21" s="116">
        <f>AF21</f>
        <v/>
      </c>
      <c r="R21" s="116" t="n">
        <v>0</v>
      </c>
      <c r="S21" s="116" t="n"/>
      <c r="T21" s="116">
        <f>ROUND(SUM(Q21:S21),2)</f>
        <v/>
      </c>
      <c r="U21" s="116">
        <f>ROUND(P21-T21,2)</f>
        <v/>
      </c>
      <c r="V21" s="116">
        <f>AQ21</f>
        <v/>
      </c>
      <c r="W21" s="116">
        <f>ROUND(T21+U21+V21,2)</f>
        <v/>
      </c>
      <c r="X21" s="115" t="n"/>
      <c r="Y21" s="115" t="n">
        <v>0</v>
      </c>
      <c r="Z21" s="115">
        <f>X21+Y21</f>
        <v/>
      </c>
      <c r="AA21" s="45" t="n"/>
      <c r="AB21" s="116" t="n">
        <v>0</v>
      </c>
      <c r="AC21" s="116">
        <f>AA21+AB21</f>
        <v/>
      </c>
      <c r="AD21" s="115" t="n"/>
      <c r="AE21" s="116" t="n">
        <v>0</v>
      </c>
      <c r="AF21" s="116">
        <f>Z21+AC21+AD21+AE21</f>
        <v/>
      </c>
      <c r="AG21" s="116" t="n"/>
      <c r="AH21" s="116" t="n">
        <v>0</v>
      </c>
      <c r="AI21" s="116">
        <f>AG21+AH21</f>
        <v/>
      </c>
      <c r="AJ21" s="115" t="n"/>
      <c r="AK21" s="116" t="n">
        <v>0</v>
      </c>
      <c r="AL21" s="115">
        <f>AJ21+AK21</f>
        <v/>
      </c>
      <c r="AM21" s="115" t="n"/>
      <c r="AN21" s="115" t="n"/>
      <c r="AO21" s="115" t="n"/>
      <c r="AP21" s="116" t="n">
        <v>0</v>
      </c>
      <c r="AQ21" s="116">
        <f>AI21+AL21+AM21+AN21+AO21+AP21</f>
        <v/>
      </c>
      <c r="AR21" s="53" t="n"/>
      <c r="AS21" s="53" t="inlineStr">
        <is>
          <t>未填写项目</t>
        </is>
      </c>
      <c r="AT21" s="52" t="n"/>
      <c r="AU21" s="121" t="inlineStr">
        <is>
          <t>春苗北京</t>
        </is>
      </c>
      <c r="AV21" s="52" t="n"/>
      <c r="AW21" s="52" t="n"/>
      <c r="AX21" s="64" t="n">
        <v>11111111111</v>
      </c>
      <c r="AY21" s="52" t="n"/>
    </row>
    <row r="22" ht="21.95" customHeight="1" s="110">
      <c r="A22" s="64" t="n">
        <v>17</v>
      </c>
      <c r="B22" s="119" t="inlineStr">
        <is>
          <t>员工22</t>
        </is>
      </c>
      <c r="C22" s="120" t="inlineStr">
        <is>
          <t>正式</t>
        </is>
      </c>
      <c r="D22" s="64" t="inlineStr">
        <is>
          <t>441624199111174458</t>
        </is>
      </c>
      <c r="E22" s="116" t="n"/>
      <c r="F22" s="116" t="n"/>
      <c r="G22" s="116" t="n"/>
      <c r="H22" s="116" t="n"/>
      <c r="I22" s="116" t="n"/>
      <c r="J22" s="116" t="n"/>
      <c r="K22" s="116" t="n"/>
      <c r="L22" s="116" t="n">
        <v>500</v>
      </c>
      <c r="M22" s="116" t="n"/>
      <c r="N22" s="116" t="n"/>
      <c r="O22" s="116" t="n"/>
      <c r="P22" s="116">
        <f>ROUND(SUM(E22:L22)-SUM(M22:O22),2)</f>
        <v/>
      </c>
      <c r="Q22" s="116">
        <f>AF22</f>
        <v/>
      </c>
      <c r="R22" s="116" t="n"/>
      <c r="S22" s="116" t="n"/>
      <c r="T22" s="116">
        <f>ROUND(SUM(Q22:S22),2)</f>
        <v/>
      </c>
      <c r="U22" s="116">
        <f>ROUND(P22-T22,2)</f>
        <v/>
      </c>
      <c r="V22" s="116">
        <f>AQ22</f>
        <v/>
      </c>
      <c r="W22" s="116">
        <f>ROUND(T22+U22+V22,2)</f>
        <v/>
      </c>
      <c r="X22" s="115" t="n"/>
      <c r="Y22" s="115" t="n">
        <v>0</v>
      </c>
      <c r="Z22" s="115">
        <f>X22+Y22</f>
        <v/>
      </c>
      <c r="AA22" s="45" t="n"/>
      <c r="AB22" s="116" t="n">
        <v>0</v>
      </c>
      <c r="AC22" s="116">
        <f>AA22+AB22</f>
        <v/>
      </c>
      <c r="AD22" s="115" t="n"/>
      <c r="AE22" s="116" t="n">
        <v>0</v>
      </c>
      <c r="AF22" s="116">
        <f>Z22+AC22+AD22+AE22</f>
        <v/>
      </c>
      <c r="AG22" s="116" t="n"/>
      <c r="AH22" s="116" t="n">
        <v>0</v>
      </c>
      <c r="AI22" s="116">
        <f>AG22+AH22</f>
        <v/>
      </c>
      <c r="AJ22" s="115" t="n"/>
      <c r="AK22" s="116" t="n">
        <v>0</v>
      </c>
      <c r="AL22" s="115">
        <f>AJ22+AK22</f>
        <v/>
      </c>
      <c r="AM22" s="115" t="n"/>
      <c r="AN22" s="115" t="n"/>
      <c r="AO22" s="115" t="n"/>
      <c r="AP22" s="116" t="n">
        <v>0</v>
      </c>
      <c r="AQ22" s="116">
        <f>AI22+AL22+AM22+AN22+AO22+AP22</f>
        <v/>
      </c>
      <c r="AR22" s="53" t="n"/>
      <c r="AS22" s="53" t="inlineStr">
        <is>
          <t>未填写项目</t>
        </is>
      </c>
      <c r="AT22" s="53" t="n"/>
      <c r="AU22" s="121" t="inlineStr">
        <is>
          <t>春苗北京</t>
        </is>
      </c>
      <c r="AV22" s="52" t="n"/>
      <c r="AW22" s="52" t="n"/>
      <c r="AX22" s="64" t="n">
        <v>11111111111</v>
      </c>
      <c r="AY22" s="52" t="n"/>
    </row>
    <row r="23" ht="21.95" customHeight="1" s="110">
      <c r="A23" s="64" t="n">
        <v>18</v>
      </c>
      <c r="B23" s="119" t="inlineStr">
        <is>
          <t>员工23</t>
        </is>
      </c>
      <c r="C23" s="120" t="inlineStr">
        <is>
          <t>正式</t>
        </is>
      </c>
      <c r="D23" s="64" t="inlineStr">
        <is>
          <t>441623198102071712</t>
        </is>
      </c>
      <c r="E23" s="116" t="n"/>
      <c r="F23" s="116" t="n"/>
      <c r="G23" s="116" t="n"/>
      <c r="H23" s="116" t="n"/>
      <c r="I23" s="116" t="n"/>
      <c r="J23" s="116" t="n"/>
      <c r="K23" s="116" t="n"/>
      <c r="L23" s="116" t="n">
        <v>500</v>
      </c>
      <c r="M23" s="116" t="n"/>
      <c r="N23" s="116" t="n"/>
      <c r="O23" s="116" t="n"/>
      <c r="P23" s="116">
        <f>ROUND(SUM(E23:L23)-SUM(M23:O23),2)</f>
        <v/>
      </c>
      <c r="Q23" s="116">
        <f>AF23</f>
        <v/>
      </c>
      <c r="R23" s="116" t="n">
        <v>0</v>
      </c>
      <c r="S23" s="116" t="n"/>
      <c r="T23" s="116">
        <f>ROUND(SUM(Q23:S23),2)</f>
        <v/>
      </c>
      <c r="U23" s="116">
        <f>ROUND(P23-T23,2)</f>
        <v/>
      </c>
      <c r="V23" s="116">
        <f>AQ23</f>
        <v/>
      </c>
      <c r="W23" s="116">
        <f>ROUND(T23+U23+V23,2)</f>
        <v/>
      </c>
      <c r="X23" s="115" t="n"/>
      <c r="Y23" s="115" t="n">
        <v>0</v>
      </c>
      <c r="Z23" s="115">
        <f>X23+Y23</f>
        <v/>
      </c>
      <c r="AA23" s="45" t="n"/>
      <c r="AB23" s="116" t="n">
        <v>0</v>
      </c>
      <c r="AC23" s="116">
        <f>AA23+AB23</f>
        <v/>
      </c>
      <c r="AD23" s="115" t="n"/>
      <c r="AE23" s="116" t="n">
        <v>0</v>
      </c>
      <c r="AF23" s="116">
        <f>Z23+AC23+AD23+AE23</f>
        <v/>
      </c>
      <c r="AG23" s="116" t="n"/>
      <c r="AH23" s="116" t="n">
        <v>0</v>
      </c>
      <c r="AI23" s="116">
        <f>AG23+AH23</f>
        <v/>
      </c>
      <c r="AJ23" s="115" t="n"/>
      <c r="AK23" s="116" t="n">
        <v>0</v>
      </c>
      <c r="AL23" s="115">
        <f>AJ23+AK23</f>
        <v/>
      </c>
      <c r="AM23" s="115" t="n"/>
      <c r="AN23" s="115" t="n"/>
      <c r="AO23" s="115" t="n"/>
      <c r="AP23" s="116" t="n">
        <v>0</v>
      </c>
      <c r="AQ23" s="116">
        <f>AI23+AL23+AM23+AN23+AO23+AP23</f>
        <v/>
      </c>
      <c r="AR23" s="53" t="n"/>
      <c r="AS23" s="53" t="inlineStr">
        <is>
          <t>未填写项目</t>
        </is>
      </c>
      <c r="AT23" s="52" t="n"/>
      <c r="AU23" s="121" t="inlineStr">
        <is>
          <t>春苗北京</t>
        </is>
      </c>
      <c r="AV23" s="52" t="n"/>
      <c r="AW23" s="52" t="n"/>
      <c r="AX23" s="64" t="n">
        <v>11111111111</v>
      </c>
      <c r="AY23" s="52" t="n"/>
    </row>
    <row r="24" ht="24.95" customFormat="1" customHeight="1" s="90">
      <c r="A24" s="70" t="inlineStr">
        <is>
          <t>春苗北京合计</t>
        </is>
      </c>
      <c r="B24" s="111" t="n"/>
      <c r="C24" s="112" t="n"/>
      <c r="D24" s="123" t="n"/>
      <c r="E24" s="124">
        <f>SUM(E6:E23)</f>
        <v/>
      </c>
      <c r="F24" s="124">
        <f>SUM(F6:F23)</f>
        <v/>
      </c>
      <c r="G24" s="124">
        <f>SUM(G6:G23)</f>
        <v/>
      </c>
      <c r="H24" s="124">
        <f>SUM(H6:H23)</f>
        <v/>
      </c>
      <c r="I24" s="124">
        <f>SUM(I6:I23)</f>
        <v/>
      </c>
      <c r="J24" s="124">
        <f>SUM(J6:J23)</f>
        <v/>
      </c>
      <c r="K24" s="124">
        <f>SUM(K6:K23)</f>
        <v/>
      </c>
      <c r="L24" s="124">
        <f>SUM(L6:L23)</f>
        <v/>
      </c>
      <c r="M24" s="124">
        <f>SUM(M6:M23)</f>
        <v/>
      </c>
      <c r="N24" s="124">
        <f>SUM(N6:N23)</f>
        <v/>
      </c>
      <c r="O24" s="124">
        <f>SUM(O6:O23)</f>
        <v/>
      </c>
      <c r="P24" s="124">
        <f>SUM(P6:P23)</f>
        <v/>
      </c>
      <c r="Q24" s="124">
        <f>SUM(Q6:Q23)</f>
        <v/>
      </c>
      <c r="R24" s="124">
        <f>SUM(R6:R23)</f>
        <v/>
      </c>
      <c r="S24" s="124">
        <f>SUM(S6:S23)</f>
        <v/>
      </c>
      <c r="T24" s="124">
        <f>SUM(T6:T23)</f>
        <v/>
      </c>
      <c r="U24" s="124">
        <f>SUM(U6:U23)</f>
        <v/>
      </c>
      <c r="V24" s="124">
        <f>SUM(V6:V23)</f>
        <v/>
      </c>
      <c r="W24" s="124">
        <f>SUM(W6:W23)</f>
        <v/>
      </c>
      <c r="X24" s="124">
        <f>SUM(X6:X23)</f>
        <v/>
      </c>
      <c r="Y24" s="124">
        <f>SUM(Y6:Y23)</f>
        <v/>
      </c>
      <c r="Z24" s="124">
        <f>SUM(Z6:Z23)</f>
        <v/>
      </c>
      <c r="AA24" s="124">
        <f>SUM(AA6:AA23)</f>
        <v/>
      </c>
      <c r="AB24" s="124">
        <f>SUM(AB6:AB23)</f>
        <v/>
      </c>
      <c r="AC24" s="124">
        <f>SUM(AC6:AC23)</f>
        <v/>
      </c>
      <c r="AD24" s="124">
        <f>SUM(AD6:AD23)</f>
        <v/>
      </c>
      <c r="AE24" s="124">
        <f>SUM(AE6:AE23)</f>
        <v/>
      </c>
      <c r="AF24" s="124">
        <f>SUM(AF6:AF23)</f>
        <v/>
      </c>
      <c r="AG24" s="124">
        <f>SUM(AG6:AG23)</f>
        <v/>
      </c>
      <c r="AH24" s="124">
        <f>SUM(AH6:AH23)</f>
        <v/>
      </c>
      <c r="AI24" s="124">
        <f>SUM(AI6:AI23)</f>
        <v/>
      </c>
      <c r="AJ24" s="124">
        <f>SUM(AJ6:AJ23)</f>
        <v/>
      </c>
      <c r="AK24" s="124">
        <f>SUM(AK6:AK23)</f>
        <v/>
      </c>
      <c r="AL24" s="124">
        <f>SUM(AL6:AL23)</f>
        <v/>
      </c>
      <c r="AM24" s="124">
        <f>SUM(AM6:AM23)</f>
        <v/>
      </c>
      <c r="AN24" s="124">
        <f>SUM(AN6:AN23)</f>
        <v/>
      </c>
      <c r="AO24" s="124">
        <f>SUM(AO6:AO23)</f>
        <v/>
      </c>
      <c r="AP24" s="124">
        <f>SUM(AP6:AP23)</f>
        <v/>
      </c>
      <c r="AQ24" s="124">
        <f>SUM(AQ6:AQ23)</f>
        <v/>
      </c>
      <c r="AR24" s="125" t="n"/>
      <c r="AY24" s="126" t="n"/>
    </row>
    <row r="25" ht="21.95" customHeight="1" s="110"/>
    <row r="26" ht="21.95" customHeight="1" s="110"/>
    <row r="27" ht="21.95" customHeight="1" s="110"/>
    <row r="28" ht="21.95" customHeight="1" s="110"/>
    <row r="29" ht="21.95" customHeight="1" s="110"/>
    <row r="30" ht="21.95" customFormat="1" customHeight="1" s="1"/>
    <row r="31" ht="24.95" customFormat="1" customHeight="1" s="1"/>
  </sheetData>
  <autoFilter ref="A5:AY31"/>
  <mergeCells count="32">
    <mergeCell ref="C4:C5"/>
    <mergeCell ref="T4:T5"/>
    <mergeCell ref="E4:E5"/>
    <mergeCell ref="AG4:AQ4"/>
    <mergeCell ref="V4:V5"/>
    <mergeCell ref="Q4:S4"/>
    <mergeCell ref="AW4:AW5"/>
    <mergeCell ref="AY4:AY5"/>
    <mergeCell ref="D4:D5"/>
    <mergeCell ref="J4:J5"/>
    <mergeCell ref="AR4:AR5"/>
    <mergeCell ref="L4:L5"/>
    <mergeCell ref="AT4:AT5"/>
    <mergeCell ref="X4:AF4"/>
    <mergeCell ref="A4:A5"/>
    <mergeCell ref="G4:G5"/>
    <mergeCell ref="I4:I5"/>
    <mergeCell ref="A3:W3"/>
    <mergeCell ref="K4:K5"/>
    <mergeCell ref="U4:U5"/>
    <mergeCell ref="A24:C24"/>
    <mergeCell ref="B4:B5"/>
    <mergeCell ref="A1:W2"/>
    <mergeCell ref="F4:F5"/>
    <mergeCell ref="W4:W5"/>
    <mergeCell ref="H4:H5"/>
    <mergeCell ref="AV4:AV5"/>
    <mergeCell ref="P4:P5"/>
    <mergeCell ref="AX4:AX5"/>
    <mergeCell ref="AS4:AS5"/>
    <mergeCell ref="AU4:AU5"/>
    <mergeCell ref="M4:N4"/>
  </mergeCells>
  <printOptions horizontalCentered="1"/>
  <pageMargins left="0.196527777777778" right="0.314583333333333" top="0.393055555555556" bottom="0.393055555555556" header="0.275" footer="0.275"/>
  <pageSetup orientation="landscape" paperSize="9" scale="58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lizhongmei</dc:creator>
  <dcterms:created xmlns:dcterms="http://purl.org/dc/terms/" xmlns:xsi="http://www.w3.org/2001/XMLSchema-instance" xsi:type="dcterms:W3CDTF">2019-09-10T02:31:00Z</dcterms:created>
  <dcterms:modified xmlns:dcterms="http://purl.org/dc/terms/" xmlns:xsi="http://www.w3.org/2001/XMLSchema-instance" xsi:type="dcterms:W3CDTF">2026-05-25T07:01:29Z</dcterms:modified>
  <cp:lastModifiedBy>胡馨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5E8F26A8A66B42FE96998E2468F7DD27_13</vt:lpwstr>
  </property>
  <property name="CalculationRule" fmtid="{D5CDD505-2E9C-101B-9397-08002B2CF9AE}" pid="4">
    <vt:i4 xmlns:vt="http://schemas.openxmlformats.org/officeDocument/2006/docPropsVTypes">0</vt:i4>
  </property>
</Properties>
</file>