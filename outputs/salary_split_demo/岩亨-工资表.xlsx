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3040" windowHeight="9204" tabRatio="600" firstSheet="0" activeTab="1" autoFilterDateGrouping="1"/>
  </bookViews>
  <sheets>
    <sheet xmlns:r="http://schemas.openxmlformats.org/officeDocument/2006/relationships" name="汇总表" sheetId="1" state="visible" r:id="rId1"/>
    <sheet xmlns:r="http://schemas.openxmlformats.org/officeDocument/2006/relationships" name="明细表" sheetId="2" state="visible" r:id="rId2"/>
  </sheets>
  <definedNames>
    <definedName name="_xlnm._FilterDatabase" localSheetId="1" hidden="1">'明细表'!$A$5:$AY$31</definedName>
    <definedName name="_xlnm.Print_Titles" localSheetId="1">'明细表'!$1:$5</definedName>
    <definedName name="_xlnm.Print_Area" localSheetId="1">'明细表'!$A$1:$W$31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7">
    <font>
      <name val="宋体"/>
      <charset val="134"/>
      <color theme="1"/>
      <sz val="11"/>
      <scheme val="minor"/>
    </font>
    <font>
      <name val="Times New Roman"/>
      <charset val="134"/>
      <b val="1"/>
      <color theme="1"/>
      <sz val="10"/>
    </font>
    <font>
      <name val="Times New Roman"/>
      <charset val="134"/>
      <color theme="1"/>
      <sz val="10"/>
    </font>
    <font>
      <name val="Times New Roman"/>
      <charset val="134"/>
      <color theme="1"/>
      <sz val="9"/>
    </font>
    <font>
      <name val="宋体"/>
      <charset val="134"/>
      <b val="1"/>
      <color theme="1"/>
      <sz val="20"/>
    </font>
    <font>
      <name val="Times New Roman"/>
      <charset val="134"/>
      <b val="1"/>
      <color theme="1"/>
      <sz val="20"/>
    </font>
    <font>
      <name val="Times New Roman"/>
      <charset val="134"/>
      <b val="1"/>
      <color theme="1"/>
      <sz val="9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宋体"/>
      <charset val="134"/>
      <b val="1"/>
      <color theme="1"/>
      <sz val="10"/>
    </font>
    <font>
      <name val="宋体"/>
      <charset val="134"/>
      <b val="1"/>
      <color theme="1"/>
      <sz val="9"/>
    </font>
    <font>
      <name val="宋体"/>
      <charset val="134"/>
      <color theme="1"/>
      <sz val="10"/>
    </font>
    <font>
      <name val="宋体"/>
      <charset val="134"/>
      <color theme="1"/>
      <sz val="9"/>
    </font>
    <font>
      <name val="宋体"/>
      <charset val="134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  <font>
      <name val="宋体"/>
      <charset val="134"/>
      <color indexed="8"/>
      <sz val="11"/>
    </font>
    <font>
      <name val="Arial"/>
      <charset val="134"/>
      <sz val="10"/>
    </font>
    <font>
      <name val="宋体"/>
      <charset val="134"/>
      <sz val="9"/>
    </font>
  </fonts>
  <fills count="3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0" fillId="5" borderId="1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15" applyAlignment="1">
      <alignment vertical="center"/>
    </xf>
    <xf numFmtId="0" fontId="20" fillId="0" borderId="15" applyAlignment="1">
      <alignment vertical="center"/>
    </xf>
    <xf numFmtId="0" fontId="21" fillId="0" borderId="16" applyAlignment="1">
      <alignment vertical="center"/>
    </xf>
    <xf numFmtId="0" fontId="21" fillId="0" borderId="0" applyAlignment="1">
      <alignment vertical="center"/>
    </xf>
    <xf numFmtId="0" fontId="22" fillId="6" borderId="17" applyAlignment="1">
      <alignment vertical="center"/>
    </xf>
    <xf numFmtId="0" fontId="23" fillId="7" borderId="18" applyAlignment="1">
      <alignment vertical="center"/>
    </xf>
    <xf numFmtId="0" fontId="24" fillId="7" borderId="17" applyAlignment="1">
      <alignment vertical="center"/>
    </xf>
    <xf numFmtId="0" fontId="25" fillId="8" borderId="19" applyAlignment="1">
      <alignment vertical="center"/>
    </xf>
    <xf numFmtId="0" fontId="26" fillId="0" borderId="20" applyAlignment="1">
      <alignment vertical="center"/>
    </xf>
    <xf numFmtId="0" fontId="27" fillId="0" borderId="21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2" fillId="13" borderId="0" applyAlignment="1">
      <alignment vertical="center"/>
    </xf>
    <xf numFmtId="0" fontId="32" fillId="14" borderId="0" applyAlignment="1">
      <alignment vertical="center"/>
    </xf>
    <xf numFmtId="0" fontId="31" fillId="15" borderId="0" applyAlignment="1">
      <alignment vertical="center"/>
    </xf>
    <xf numFmtId="0" fontId="31" fillId="16" borderId="0" applyAlignment="1">
      <alignment vertical="center"/>
    </xf>
    <xf numFmtId="0" fontId="32" fillId="17" borderId="0" applyAlignment="1">
      <alignment vertical="center"/>
    </xf>
    <xf numFmtId="0" fontId="32" fillId="18" borderId="0" applyAlignment="1">
      <alignment vertical="center"/>
    </xf>
    <xf numFmtId="0" fontId="31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0" fillId="0" borderId="0" applyAlignment="1">
      <alignment vertical="center"/>
    </xf>
    <xf numFmtId="0" fontId="35" fillId="0" borderId="0" applyAlignment="1">
      <alignment vertical="center"/>
    </xf>
  </cellStyleXfs>
  <cellXfs count="1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57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right" vertical="center"/>
    </xf>
    <xf numFmtId="0" fontId="1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3" fillId="0" borderId="1" applyAlignment="1" pivotButton="0" quotePrefix="0" xfId="50">
      <alignment horizontal="center" vertical="center" wrapText="1" shrinkToFit="1"/>
    </xf>
    <xf numFmtId="0" fontId="2" fillId="0" borderId="5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 wrapText="1"/>
    </xf>
    <xf numFmtId="164" fontId="1" fillId="3" borderId="5" applyAlignment="1" pivotButton="0" quotePrefix="0" xfId="0">
      <alignment horizontal="center" vertical="center" wrapText="1"/>
    </xf>
    <xf numFmtId="164" fontId="6" fillId="3" borderId="6" applyAlignment="1" pivotButton="0" quotePrefix="0" xfId="0">
      <alignment horizontal="center" vertical="center" wrapText="1"/>
    </xf>
    <xf numFmtId="164" fontId="1" fillId="4" borderId="1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9" fillId="4" borderId="7" applyAlignment="1" pivotButton="0" quotePrefix="0" xfId="0">
      <alignment horizontal="center" vertical="center" wrapText="1"/>
    </xf>
    <xf numFmtId="164" fontId="1" fillId="4" borderId="5" applyAlignment="1" pivotButton="0" quotePrefix="0" xfId="0">
      <alignment horizontal="center" vertical="center" wrapText="1"/>
    </xf>
    <xf numFmtId="164" fontId="6" fillId="4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/>
    </xf>
    <xf numFmtId="164" fontId="2" fillId="0" borderId="13" applyAlignment="1" pivotButton="0" quotePrefix="0" xfId="0">
      <alignment vertical="center"/>
    </xf>
    <xf numFmtId="164" fontId="2" fillId="0" borderId="13" applyAlignment="1" pivotButton="0" quotePrefix="0" xfId="0">
      <alignment vertical="center"/>
    </xf>
    <xf numFmtId="164" fontId="2" fillId="0" borderId="13" applyAlignment="1" pivotButton="0" quotePrefix="0" xfId="0">
      <alignment horizontal="right" vertical="center"/>
    </xf>
    <xf numFmtId="0" fontId="2" fillId="0" borderId="13" applyAlignment="1" pivotButton="0" quotePrefix="0" xfId="0">
      <alignment vertical="center"/>
    </xf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57" fontId="7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1" fillId="0" borderId="1" applyAlignment="1" pivotButton="0" quotePrefix="0" xfId="3">
      <alignment horizontal="center" vertical="center"/>
    </xf>
    <xf numFmtId="164" fontId="1" fillId="0" borderId="1" applyAlignment="1" pivotButton="0" quotePrefix="0" xfId="3">
      <alignment horizontal="left" vertical="center"/>
    </xf>
    <xf numFmtId="164" fontId="1" fillId="0" borderId="1" applyAlignment="1" pivotButton="0" quotePrefix="0" xfId="3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2" fillId="0" borderId="1" applyAlignment="1" pivotButton="0" quotePrefix="1" xfId="0">
      <alignment horizontal="center" vertical="center"/>
    </xf>
    <xf numFmtId="0" fontId="2" fillId="0" borderId="6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pivotButton="0" quotePrefix="0" xfId="0"/>
    <xf numFmtId="164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4" fontId="1" fillId="0" borderId="1" applyAlignment="1" pivotButton="0" quotePrefix="0" xfId="0">
      <alignment horizontal="left" vertical="center"/>
    </xf>
    <xf numFmtId="0" fontId="0" fillId="0" borderId="3" pivotButton="0" quotePrefix="0" xfId="0"/>
    <xf numFmtId="164" fontId="11" fillId="0" borderId="1" applyAlignment="1" pivotButton="0" quotePrefix="0" xfId="0">
      <alignment horizontal="center" vertical="center" wrapText="1"/>
    </xf>
    <xf numFmtId="164" fontId="12" fillId="0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/>
    </xf>
    <xf numFmtId="0" fontId="0" fillId="0" borderId="12" pivotButton="0" quotePrefix="0" xfId="0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 2" xfId="49"/>
    <cellStyle name="常规_临沧项目_1" xfId="50"/>
    <cellStyle name="常规 2" xfId="51"/>
    <cellStyle name="常规 8" xf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Administrator</author>
  </authors>
  <commentList>
    <comment ref="R5" authorId="0" shapeId="0">
      <text>
        <t>10月工资的税费我没有动，请核查好并修改。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V8"/>
  <sheetViews>
    <sheetView workbookViewId="0">
      <selection activeCell="F18" sqref="F18"/>
    </sheetView>
  </sheetViews>
  <sheetFormatPr baseColWidth="8" defaultColWidth="9" defaultRowHeight="13.2"/>
  <cols>
    <col width="16.2222222222222" customWidth="1" style="92" min="1" max="1"/>
    <col width="5.37962962962963" customWidth="1" style="91" min="2" max="2"/>
    <col width="10.25" customWidth="1" style="93" min="3" max="3"/>
    <col width="11.1481481481481" customWidth="1" style="93" min="4" max="4"/>
    <col width="6.33333333333333" customWidth="1" style="93" min="5" max="5"/>
    <col width="8.111111111111111" customWidth="1" style="93" min="6" max="6"/>
    <col width="6.77777777777778" customWidth="1" style="91" min="7" max="12"/>
    <col width="6.77777777777778" customWidth="1" style="90" min="13" max="20"/>
    <col width="10.6481481481481" customWidth="1" style="90" min="21" max="21"/>
    <col width="9.37962962962963" customWidth="1" style="90" min="22" max="22"/>
    <col width="9" customWidth="1" style="90" min="23" max="16384"/>
  </cols>
  <sheetData>
    <row r="1" ht="15" customHeight="1" s="110">
      <c r="A1" s="94" t="inlineStr">
        <is>
          <t>唐人数智科技股份有限公司广东分公司（河源项目部）车租汇总表（岩亨）</t>
        </is>
      </c>
      <c r="V1" s="1" t="n"/>
    </row>
    <row r="2" ht="15" customHeight="1" s="110">
      <c r="V2" s="1" t="n"/>
    </row>
    <row r="3" ht="15" customHeight="1" s="110">
      <c r="A3" s="95" t="n">
        <v>46113</v>
      </c>
      <c r="V3" s="1" t="n"/>
    </row>
    <row r="4">
      <c r="A4" s="19" t="inlineStr">
        <is>
          <t>项目名称</t>
        </is>
      </c>
      <c r="B4" s="19" t="inlineStr">
        <is>
          <t>本月人数</t>
        </is>
      </c>
      <c r="C4" s="19" t="inlineStr">
        <is>
          <t>本月应发工资</t>
        </is>
      </c>
      <c r="D4" s="19" t="inlineStr">
        <is>
          <t>本月实发工资</t>
        </is>
      </c>
      <c r="E4" s="19" t="inlineStr">
        <is>
          <t>其他扣款</t>
        </is>
      </c>
      <c r="F4" s="19" t="inlineStr">
        <is>
          <t>个税代扣金额</t>
        </is>
      </c>
      <c r="G4" s="24" t="inlineStr">
        <is>
          <t>社保个人部分</t>
        </is>
      </c>
      <c r="H4" s="111" t="n"/>
      <c r="I4" s="111" t="n"/>
      <c r="J4" s="111" t="n"/>
      <c r="K4" s="111" t="n"/>
      <c r="L4" s="112" t="n"/>
      <c r="M4" s="24" t="inlineStr">
        <is>
          <t>社保单位部分</t>
        </is>
      </c>
      <c r="N4" s="111" t="n"/>
      <c r="O4" s="111" t="n"/>
      <c r="P4" s="111" t="n"/>
      <c r="Q4" s="111" t="n"/>
      <c r="R4" s="111" t="n"/>
      <c r="S4" s="111" t="n"/>
      <c r="T4" s="112" t="n"/>
      <c r="U4" s="24" t="inlineStr">
        <is>
          <t>合计</t>
        </is>
      </c>
      <c r="V4" s="1" t="n"/>
    </row>
    <row r="5">
      <c r="A5" s="113" t="n"/>
      <c r="B5" s="113" t="n"/>
      <c r="C5" s="113" t="n"/>
      <c r="D5" s="113" t="n"/>
      <c r="E5" s="113" t="n"/>
      <c r="F5" s="113" t="n"/>
      <c r="G5" s="24" t="inlineStr">
        <is>
          <t>养老</t>
        </is>
      </c>
      <c r="H5" s="32" t="inlineStr">
        <is>
          <t>社保补差</t>
        </is>
      </c>
      <c r="I5" s="24" t="inlineStr">
        <is>
          <t>医疗</t>
        </is>
      </c>
      <c r="J5" s="24" t="inlineStr">
        <is>
          <t>大病医疗</t>
        </is>
      </c>
      <c r="K5" s="24" t="inlineStr">
        <is>
          <t>失业</t>
        </is>
      </c>
      <c r="L5" s="24" t="inlineStr">
        <is>
          <t>公积金</t>
        </is>
      </c>
      <c r="M5" s="24" t="inlineStr">
        <is>
          <t>养老</t>
        </is>
      </c>
      <c r="N5" s="32" t="inlineStr">
        <is>
          <t>社保补差</t>
        </is>
      </c>
      <c r="O5" s="24" t="inlineStr">
        <is>
          <t>医疗</t>
        </is>
      </c>
      <c r="P5" s="24" t="inlineStr">
        <is>
          <t>失业</t>
        </is>
      </c>
      <c r="Q5" s="24" t="inlineStr">
        <is>
          <t>工伤</t>
        </is>
      </c>
      <c r="R5" s="24" t="inlineStr">
        <is>
          <t>生育</t>
        </is>
      </c>
      <c r="S5" s="24" t="inlineStr">
        <is>
          <t>大病医疗</t>
        </is>
      </c>
      <c r="T5" s="24" t="inlineStr">
        <is>
          <t>滞纳金</t>
        </is>
      </c>
      <c r="U5" s="113" t="n"/>
      <c r="V5" s="1" t="n"/>
    </row>
    <row r="6" ht="39" customHeight="1" s="110">
      <c r="A6" s="19" t="inlineStr">
        <is>
          <t>未填写项目</t>
        </is>
      </c>
      <c r="B6" s="64">
        <f>COUNTIF('明细表'!$AS:$AS,A6)</f>
        <v/>
      </c>
      <c r="C6" s="114">
        <f>SUMIF('明细表'!$AS:$AS,A6,'明细表'!$P:$P)</f>
        <v/>
      </c>
      <c r="D6" s="114">
        <f>SUMIF('明细表'!$AS:$AS,A6,'明细表'!$U:$U)</f>
        <v/>
      </c>
      <c r="E6" s="114">
        <f>SUMIF('明细表'!$AS:$AS,A6,'明细表'!$M:$M)+SUMIF('明细表'!$AS:$AS,A6,'明细表'!$N:$N)+SUMIF('明细表'!$AS:$AS,A6,'明细表'!$O:$O)+SUMIF('明细表'!$AS:$AS,A6,'明细表'!$S:$S)</f>
        <v/>
      </c>
      <c r="F6" s="114">
        <f>SUMIF('明细表'!$AS:$AS,A6,'明细表'!$R:$R)</f>
        <v/>
      </c>
      <c r="G6" s="115">
        <f>SUMIF('明细表'!$AS:$AS,A6,'明细表'!$X:$X)</f>
        <v/>
      </c>
      <c r="H6" s="115">
        <f>SUMIF('明细表'!$AS:$AS,A6,'明细表'!$Y:$Y)</f>
        <v/>
      </c>
      <c r="I6" s="115">
        <f>SUMIF('明细表'!$AS:$AS,A6,'明细表'!$AA:$AA)</f>
        <v/>
      </c>
      <c r="J6" s="115">
        <f>SUMIF('明细表'!$AS:$AS,A6,'明细表'!$AB:$AB)</f>
        <v/>
      </c>
      <c r="K6" s="115">
        <f>SUMIF('明细表'!$AS:$AS,A6,'明细表'!$AD:$AD)</f>
        <v/>
      </c>
      <c r="L6" s="115">
        <f>SUMIF('明细表'!$AS:$AS,A6,'明细表'!$AE:$AE)</f>
        <v/>
      </c>
      <c r="M6" s="116">
        <f>SUMIF('明细表'!$AS:$AS,A6,'明细表'!$AG:$AG)</f>
        <v/>
      </c>
      <c r="N6" s="116">
        <f>SUMIF('明细表'!$AS:$AS,A6,'明细表'!$AH:$AH)</f>
        <v/>
      </c>
      <c r="O6" s="116">
        <f>SUMIF('明细表'!$AS:$AS,A6,'明细表'!$AJ:$AJ)</f>
        <v/>
      </c>
      <c r="P6" s="116">
        <f>SUMIF('明细表'!$AS:$AS,A6,'明细表'!$AM:$AM)</f>
        <v/>
      </c>
      <c r="Q6" s="116">
        <f>SUMIF('明细表'!$AS:$AS,A6,'明细表'!$AN:$AN)</f>
        <v/>
      </c>
      <c r="R6" s="116">
        <f>SUMIF('明细表'!$AS:$AS,A6,'明细表'!$AO:$AO)</f>
        <v/>
      </c>
      <c r="S6" s="116">
        <f>SUMIF('明细表'!$AS:$AS,A6,'明细表'!$AK:$AK)</f>
        <v/>
      </c>
      <c r="T6" s="116">
        <f>SUMIF('明细表'!$AS:$AS,A6,'明细表'!$AP:$AP)</f>
        <v/>
      </c>
      <c r="U6" s="116">
        <f>SUM(D6:T6)</f>
        <v/>
      </c>
    </row>
    <row r="7" ht="26.1" customHeight="1" s="110">
      <c r="A7" s="19" t="inlineStr">
        <is>
          <t>合计</t>
        </is>
      </c>
      <c r="B7" s="23">
        <f>SUM(B6:B6)</f>
        <v/>
      </c>
      <c r="C7" s="117">
        <f>SUM(C6:C6)</f>
        <v/>
      </c>
      <c r="D7" s="117">
        <f>SUM(D6:D6)</f>
        <v/>
      </c>
      <c r="E7" s="117">
        <f>SUM(E6:E6)</f>
        <v/>
      </c>
      <c r="F7" s="117">
        <f>SUM(F6:F6)</f>
        <v/>
      </c>
      <c r="G7" s="117">
        <f>SUM(G6:G6)</f>
        <v/>
      </c>
      <c r="H7" s="117">
        <f>SUM(H6:H6)</f>
        <v/>
      </c>
      <c r="I7" s="117">
        <f>SUM(I6:I6)</f>
        <v/>
      </c>
      <c r="J7" s="117">
        <f>SUM(J6:J6)</f>
        <v/>
      </c>
      <c r="K7" s="117">
        <f>SUM(K6:K6)</f>
        <v/>
      </c>
      <c r="L7" s="117">
        <f>SUM(L6:L6)</f>
        <v/>
      </c>
      <c r="M7" s="117">
        <f>SUM(M6:M6)</f>
        <v/>
      </c>
      <c r="N7" s="117">
        <f>SUM(N6:N6)</f>
        <v/>
      </c>
      <c r="O7" s="117">
        <f>SUM(O6:O6)</f>
        <v/>
      </c>
      <c r="P7" s="117">
        <f>SUM(P6:P6)</f>
        <v/>
      </c>
      <c r="Q7" s="117">
        <f>SUM(Q6:Q6)</f>
        <v/>
      </c>
      <c r="R7" s="117">
        <f>SUM(R6:R6)</f>
        <v/>
      </c>
      <c r="S7" s="117">
        <f>SUM(S6:S6)</f>
        <v/>
      </c>
      <c r="T7" s="117">
        <f>SUM(T6:T6)</f>
        <v/>
      </c>
      <c r="U7" s="117">
        <f>SUM(U6:U6)</f>
        <v/>
      </c>
    </row>
    <row r="8" ht="38" customFormat="1" customHeight="1" s="1">
      <c r="A8" s="106" t="inlineStr">
        <is>
          <t>总经理：                            财务中心：                            人力资源部：                          运营商事业部：                         制表人：</t>
        </is>
      </c>
      <c r="V8" s="107" t="n"/>
    </row>
    <row r="9" ht="38" customHeight="1" s="110"/>
  </sheetData>
  <mergeCells count="12">
    <mergeCell ref="A8:U8"/>
    <mergeCell ref="B4:B5"/>
    <mergeCell ref="C4:C5"/>
    <mergeCell ref="A4:A5"/>
    <mergeCell ref="F4:F5"/>
    <mergeCell ref="D4:D5"/>
    <mergeCell ref="E4:E5"/>
    <mergeCell ref="G4:L4"/>
    <mergeCell ref="U4:U5"/>
    <mergeCell ref="M4:T4"/>
    <mergeCell ref="A1:U2"/>
    <mergeCell ref="A3:U3"/>
  </mergeCells>
  <printOptions horizontalCentered="1"/>
  <pageMargins left="0.196527777777778" right="0.118055555555556" top="0.393055555555556" bottom="0.393055555555556" header="0.275" footer="0.275"/>
  <pageSetup orientation="landscape" paperSize="9" scale="80" fitToHeight="0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AY7"/>
  <sheetViews>
    <sheetView tabSelected="1" workbookViewId="0">
      <pane xSplit="4" ySplit="5" topLeftCell="E22" activePane="bottomRight" state="frozen"/>
      <selection activeCell="A1" sqref="A1"/>
      <selection pane="topRight" activeCell="A1" sqref="A1"/>
      <selection pane="bottomLeft" activeCell="A1" sqref="A1"/>
      <selection pane="bottomRight" activeCell="H29" sqref="H29"/>
    </sheetView>
  </sheetViews>
  <sheetFormatPr baseColWidth="8" defaultColWidth="9" defaultRowHeight="13.2"/>
  <cols>
    <col width="3.37962962962963" customWidth="1" style="91" min="1" max="1"/>
    <col width="7.75" customWidth="1" style="91" min="2" max="2"/>
    <col width="7.55555555555556" customWidth="1" style="7" min="3" max="3"/>
    <col width="19.7777777777778" customWidth="1" style="7" min="4" max="4"/>
    <col width="7.77777777777778" customWidth="1" style="90" min="5" max="11"/>
    <col width="10.5" customWidth="1" style="90" min="12" max="12"/>
    <col width="9.111111111111111" customWidth="1" style="90" min="13" max="13"/>
    <col width="7.44444444444444" customWidth="1" style="90" min="14" max="14"/>
    <col width="8.22222222222222" customWidth="1" style="90" min="15" max="15"/>
    <col width="11" customWidth="1" style="90" min="16" max="16"/>
    <col width="9.555555555555561" customWidth="1" style="90" min="17" max="17"/>
    <col width="7.88888888888889" customWidth="1" style="90" min="18" max="18"/>
    <col width="7.5462962962963" customWidth="1" style="90" min="19" max="19"/>
    <col width="7.44444444444444" customWidth="1" style="90" min="20" max="20"/>
    <col width="11.1481481481481" customWidth="1" style="90" min="21" max="21"/>
    <col width="7.88888888888889" customWidth="1" style="90" min="22" max="22"/>
    <col width="11" customWidth="1" style="90" min="23" max="23"/>
    <col width="9.648148148148151" customWidth="1" style="90" min="24" max="26"/>
    <col width="9.444444444444439" customWidth="1" style="8" min="27" max="27"/>
    <col width="9" customWidth="1" style="90" min="28" max="31"/>
    <col width="10.3796296296296" customWidth="1" style="90" min="32" max="32"/>
    <col width="10.5" customWidth="1" style="90" min="33" max="35"/>
    <col width="9.444444444444439" customWidth="1" style="90" min="36" max="39"/>
    <col width="9" customWidth="1" style="90" min="40" max="40"/>
    <col width="9.444444444444439" customWidth="1" style="90" min="41" max="41"/>
    <col width="9" customWidth="1" style="90" min="42" max="42"/>
    <col width="9.87962962962963" customWidth="1" style="90" min="43" max="43"/>
    <col width="9" customWidth="1" style="90" min="44" max="44"/>
    <col width="45.8796296296296" customWidth="1" style="90" min="45" max="45"/>
    <col width="13.6481481481481" customWidth="1" style="90" min="46" max="46"/>
    <col width="8.5" customWidth="1" style="90" min="47" max="47"/>
    <col width="10.4444444444444" customWidth="1" style="90" min="48" max="49"/>
    <col width="11.8796296296296" customWidth="1" style="91" min="50" max="50"/>
    <col width="10.3796296296296" customWidth="1" style="90" min="51" max="51"/>
    <col width="9" customWidth="1" style="90" min="52" max="16384"/>
  </cols>
  <sheetData>
    <row r="1" ht="24" customFormat="1" customHeight="1" s="1">
      <c r="A1" s="9" t="inlineStr">
        <is>
          <t>唐人数智科技股份有限公司广东分公司（河源项目部）车租明细表（岩亨）</t>
        </is>
      </c>
      <c r="AA1" s="13" t="n"/>
      <c r="AX1" s="74" t="n"/>
    </row>
    <row r="2" ht="24" customFormat="1" customHeight="1" s="1">
      <c r="AA2" s="13" t="n"/>
      <c r="AX2" s="74" t="n"/>
    </row>
    <row r="3" ht="15.6" customFormat="1" customHeight="1" s="1">
      <c r="A3" s="15" t="n">
        <v>46113</v>
      </c>
      <c r="AA3" s="13" t="n"/>
      <c r="AX3" s="74" t="n"/>
    </row>
    <row r="4" customFormat="1" s="74">
      <c r="A4" s="19" t="inlineStr">
        <is>
          <t>序号</t>
        </is>
      </c>
      <c r="B4" s="19" t="inlineStr">
        <is>
          <t>姓名</t>
        </is>
      </c>
      <c r="C4" s="20" t="inlineStr">
        <is>
          <t>正式/试用</t>
        </is>
      </c>
      <c r="D4" s="21" t="inlineStr">
        <is>
          <t>身份证号码</t>
        </is>
      </c>
      <c r="E4" s="19" t="inlineStr">
        <is>
          <t>基础工资</t>
        </is>
      </c>
      <c r="F4" s="19" t="inlineStr">
        <is>
          <t>岗位工资</t>
        </is>
      </c>
      <c r="G4" s="19" t="inlineStr">
        <is>
          <t>保密津贴</t>
        </is>
      </c>
      <c r="H4" s="19" t="inlineStr">
        <is>
          <t>午/误餐补贴</t>
        </is>
      </c>
      <c r="I4" s="19" t="inlineStr">
        <is>
          <t>交通补贴</t>
        </is>
      </c>
      <c r="J4" s="19" t="inlineStr">
        <is>
          <t>话费补贴</t>
        </is>
      </c>
      <c r="K4" s="19" t="inlineStr">
        <is>
          <t>电脑及工具补贴</t>
        </is>
      </c>
      <c r="L4" s="19" t="inlineStr">
        <is>
          <t>车租</t>
        </is>
      </c>
      <c r="M4" s="24" t="inlineStr">
        <is>
          <t>扣款</t>
        </is>
      </c>
      <c r="N4" s="112" t="n"/>
      <c r="O4" s="23" t="n"/>
      <c r="P4" s="24" t="inlineStr">
        <is>
          <t>应发小计</t>
        </is>
      </c>
      <c r="Q4" s="24" t="inlineStr">
        <is>
          <t>扣款</t>
        </is>
      </c>
      <c r="R4" s="111" t="n"/>
      <c r="S4" s="112" t="n"/>
      <c r="T4" s="24" t="inlineStr">
        <is>
          <t>应扣小计</t>
        </is>
      </c>
      <c r="U4" s="24" t="inlineStr">
        <is>
          <t>实发小计</t>
        </is>
      </c>
      <c r="V4" s="19" t="inlineStr">
        <is>
          <t>单位缴纳社保及公积金</t>
        </is>
      </c>
      <c r="W4" s="19" t="inlineStr">
        <is>
          <t>公司付款合计</t>
        </is>
      </c>
      <c r="X4" s="24" t="inlineStr">
        <is>
          <t>个人社保及公积金扣款明细</t>
        </is>
      </c>
      <c r="Y4" s="111" t="n"/>
      <c r="Z4" s="111" t="n"/>
      <c r="AA4" s="111" t="n"/>
      <c r="AB4" s="111" t="n"/>
      <c r="AC4" s="111" t="n"/>
      <c r="AD4" s="111" t="n"/>
      <c r="AE4" s="111" t="n"/>
      <c r="AF4" s="112" t="n"/>
      <c r="AG4" s="24" t="inlineStr">
        <is>
          <t>单位缴纳社保及公积金明细</t>
        </is>
      </c>
      <c r="AH4" s="111" t="n"/>
      <c r="AI4" s="111" t="n"/>
      <c r="AJ4" s="111" t="n"/>
      <c r="AK4" s="111" t="n"/>
      <c r="AL4" s="111" t="n"/>
      <c r="AM4" s="111" t="n"/>
      <c r="AN4" s="111" t="n"/>
      <c r="AO4" s="111" t="n"/>
      <c r="AP4" s="111" t="n"/>
      <c r="AQ4" s="112" t="n"/>
      <c r="AR4" s="23" t="inlineStr">
        <is>
          <t>区域</t>
        </is>
      </c>
      <c r="AS4" s="23" t="inlineStr">
        <is>
          <t>项目</t>
        </is>
      </c>
      <c r="AT4" s="23" t="inlineStr">
        <is>
          <t>岗位</t>
        </is>
      </c>
      <c r="AU4" s="26" t="inlineStr">
        <is>
          <t>入职公司</t>
        </is>
      </c>
      <c r="AV4" s="23" t="inlineStr">
        <is>
          <t>卡号</t>
        </is>
      </c>
      <c r="AW4" s="23" t="inlineStr">
        <is>
          <t>开户行</t>
        </is>
      </c>
      <c r="AX4" s="23" t="inlineStr">
        <is>
          <t>手机号</t>
        </is>
      </c>
      <c r="AY4" s="23" t="inlineStr">
        <is>
          <t>专项扣款</t>
        </is>
      </c>
    </row>
    <row r="5" ht="24" customFormat="1" customHeight="1" s="74">
      <c r="A5" s="113" t="n"/>
      <c r="B5" s="113" t="n"/>
      <c r="C5" s="113" t="n"/>
      <c r="D5" s="118" t="n"/>
      <c r="E5" s="113" t="n"/>
      <c r="F5" s="113" t="n"/>
      <c r="G5" s="113" t="n"/>
      <c r="H5" s="113" t="n"/>
      <c r="I5" s="113" t="n"/>
      <c r="J5" s="113" t="n"/>
      <c r="K5" s="113" t="n"/>
      <c r="L5" s="113" t="n"/>
      <c r="M5" s="32" t="inlineStr">
        <is>
          <t>考勤</t>
        </is>
      </c>
      <c r="N5" s="32" t="inlineStr">
        <is>
          <t>考核</t>
        </is>
      </c>
      <c r="O5" s="32" t="inlineStr">
        <is>
          <t>其它</t>
        </is>
      </c>
      <c r="P5" s="113" t="n"/>
      <c r="Q5" s="34" t="inlineStr">
        <is>
          <t>个人社保及其他</t>
        </is>
      </c>
      <c r="R5" s="32" t="inlineStr">
        <is>
          <t>个税</t>
        </is>
      </c>
      <c r="S5" s="32" t="inlineStr">
        <is>
          <t>其它</t>
        </is>
      </c>
      <c r="T5" s="113" t="n"/>
      <c r="U5" s="113" t="n"/>
      <c r="V5" s="113" t="n"/>
      <c r="W5" s="113" t="n"/>
      <c r="X5" s="32" t="inlineStr">
        <is>
          <t>养老</t>
        </is>
      </c>
      <c r="Y5" s="32" t="inlineStr">
        <is>
          <t>社保补差</t>
        </is>
      </c>
      <c r="Z5" s="32" t="inlineStr">
        <is>
          <t>养老合计</t>
        </is>
      </c>
      <c r="AA5" s="35" t="inlineStr">
        <is>
          <t>医疗</t>
        </is>
      </c>
      <c r="AB5" s="32" t="inlineStr">
        <is>
          <t>大病医疗</t>
        </is>
      </c>
      <c r="AC5" s="32" t="inlineStr">
        <is>
          <t>医疗合计</t>
        </is>
      </c>
      <c r="AD5" s="32" t="inlineStr">
        <is>
          <t>失业</t>
        </is>
      </c>
      <c r="AE5" s="32" t="inlineStr">
        <is>
          <t>住房公积金</t>
        </is>
      </c>
      <c r="AF5" s="32" t="inlineStr">
        <is>
          <t>小计</t>
        </is>
      </c>
      <c r="AG5" s="32" t="inlineStr">
        <is>
          <t>养老</t>
        </is>
      </c>
      <c r="AH5" s="32" t="inlineStr">
        <is>
          <t>社保补差</t>
        </is>
      </c>
      <c r="AI5" s="32" t="inlineStr">
        <is>
          <t>养老合计</t>
        </is>
      </c>
      <c r="AJ5" s="32" t="inlineStr">
        <is>
          <t>医疗</t>
        </is>
      </c>
      <c r="AK5" s="32" t="inlineStr">
        <is>
          <t>大病保险</t>
        </is>
      </c>
      <c r="AL5" s="32" t="inlineStr">
        <is>
          <t>医疗合计</t>
        </is>
      </c>
      <c r="AM5" s="32" t="inlineStr">
        <is>
          <t>失业</t>
        </is>
      </c>
      <c r="AN5" s="32" t="inlineStr">
        <is>
          <t>工伤</t>
        </is>
      </c>
      <c r="AO5" s="32" t="inlineStr">
        <is>
          <t>生育</t>
        </is>
      </c>
      <c r="AP5" s="32" t="inlineStr">
        <is>
          <t>滞纳金</t>
        </is>
      </c>
      <c r="AQ5" s="32" t="inlineStr">
        <is>
          <t>合计</t>
        </is>
      </c>
      <c r="AR5" s="113" t="n"/>
      <c r="AS5" s="113" t="n"/>
      <c r="AT5" s="113" t="n"/>
      <c r="AU5" s="113" t="n"/>
      <c r="AV5" s="113" t="n"/>
      <c r="AW5" s="113" t="n"/>
      <c r="AX5" s="113" t="n"/>
      <c r="AY5" s="113" t="n"/>
    </row>
    <row r="6" ht="21.95" customHeight="1" s="110">
      <c r="A6" s="64" t="n">
        <v>1</v>
      </c>
      <c r="B6" s="119" t="inlineStr">
        <is>
          <t>员工3</t>
        </is>
      </c>
      <c r="C6" s="120" t="inlineStr">
        <is>
          <t>正式</t>
        </is>
      </c>
      <c r="D6" s="64" t="inlineStr">
        <is>
          <t>44162219800516649X</t>
        </is>
      </c>
      <c r="E6" s="116" t="n"/>
      <c r="F6" s="116" t="n"/>
      <c r="G6" s="116" t="n"/>
      <c r="H6" s="116" t="n"/>
      <c r="I6" s="116" t="n"/>
      <c r="J6" s="116" t="n"/>
      <c r="K6" s="116" t="n"/>
      <c r="L6" s="116" t="n">
        <v>500</v>
      </c>
      <c r="M6" s="116" t="n"/>
      <c r="N6" s="116" t="n"/>
      <c r="O6" s="116" t="n"/>
      <c r="P6" s="116">
        <f>ROUND(SUM(E6:L6)-SUM(M6:O6),2)</f>
        <v/>
      </c>
      <c r="Q6" s="116">
        <f>AF6</f>
        <v/>
      </c>
      <c r="R6" s="116" t="n">
        <v>0</v>
      </c>
      <c r="S6" s="116" t="n"/>
      <c r="T6" s="116">
        <f>ROUND(SUM(Q6:S6),2)</f>
        <v/>
      </c>
      <c r="U6" s="116">
        <f>ROUND(P6-T6,2)</f>
        <v/>
      </c>
      <c r="V6" s="116">
        <f>AQ6</f>
        <v/>
      </c>
      <c r="W6" s="116">
        <f>ROUND(T6+U6+V6,2)</f>
        <v/>
      </c>
      <c r="X6" s="115" t="n"/>
      <c r="Y6" s="115" t="n">
        <v>0</v>
      </c>
      <c r="Z6" s="115">
        <f>X6+Y6</f>
        <v/>
      </c>
      <c r="AA6" s="45" t="n"/>
      <c r="AB6" s="116" t="n">
        <v>0</v>
      </c>
      <c r="AC6" s="116">
        <f>AA6+AB6</f>
        <v/>
      </c>
      <c r="AD6" s="115" t="n"/>
      <c r="AE6" s="116" t="n">
        <v>0</v>
      </c>
      <c r="AF6" s="116">
        <f>Z6+AC6+AD6+AE6</f>
        <v/>
      </c>
      <c r="AG6" s="116" t="n"/>
      <c r="AH6" s="116" t="n">
        <v>0</v>
      </c>
      <c r="AI6" s="116">
        <f>AG6+AH6</f>
        <v/>
      </c>
      <c r="AJ6" s="115" t="n"/>
      <c r="AK6" s="116" t="n">
        <v>0</v>
      </c>
      <c r="AL6" s="115">
        <f>AJ6+AK6</f>
        <v/>
      </c>
      <c r="AM6" s="115" t="n"/>
      <c r="AN6" s="115" t="n"/>
      <c r="AO6" s="115" t="n"/>
      <c r="AP6" s="116" t="n">
        <v>0</v>
      </c>
      <c r="AQ6" s="116">
        <f>AI6+AL6+AM6+AN6+AO6+AP6</f>
        <v/>
      </c>
      <c r="AR6" s="52" t="n"/>
      <c r="AS6" s="53" t="inlineStr">
        <is>
          <t>未填写项目</t>
        </is>
      </c>
      <c r="AT6" s="53" t="n"/>
      <c r="AU6" s="54" t="inlineStr">
        <is>
          <t>岩亨</t>
        </is>
      </c>
      <c r="AV6" s="52" t="n"/>
      <c r="AW6" s="52" t="n"/>
      <c r="AX6" s="64" t="n">
        <v>11111111111</v>
      </c>
      <c r="AY6" s="52" t="n"/>
    </row>
    <row r="7" ht="24.95" customHeight="1" s="110">
      <c r="A7" s="70" t="inlineStr">
        <is>
          <t>岩亨合计</t>
        </is>
      </c>
      <c r="B7" s="111" t="n"/>
      <c r="C7" s="112" t="n"/>
      <c r="D7" s="121" t="n"/>
      <c r="E7" s="122">
        <f>SUM(E6:E6)</f>
        <v/>
      </c>
      <c r="F7" s="122">
        <f>SUM(F6:F6)</f>
        <v/>
      </c>
      <c r="G7" s="122">
        <f>SUM(G6:G6)</f>
        <v/>
      </c>
      <c r="H7" s="122">
        <f>SUM(H6:H6)</f>
        <v/>
      </c>
      <c r="I7" s="122">
        <f>SUM(I6:I6)</f>
        <v/>
      </c>
      <c r="J7" s="122">
        <f>SUM(J6:J6)</f>
        <v/>
      </c>
      <c r="K7" s="122">
        <f>SUM(K6:K6)</f>
        <v/>
      </c>
      <c r="L7" s="122">
        <f>SUM(L6:L6)</f>
        <v/>
      </c>
      <c r="M7" s="122">
        <f>SUM(M6:M6)</f>
        <v/>
      </c>
      <c r="N7" s="122">
        <f>SUM(N6:N6)</f>
        <v/>
      </c>
      <c r="O7" s="122">
        <f>SUM(O6:O6)</f>
        <v/>
      </c>
      <c r="P7" s="122">
        <f>SUM(P6:P6)</f>
        <v/>
      </c>
      <c r="Q7" s="122">
        <f>SUM(Q6:Q6)</f>
        <v/>
      </c>
      <c r="R7" s="122">
        <f>SUM(R6:R6)</f>
        <v/>
      </c>
      <c r="S7" s="122">
        <f>SUM(S6:S6)</f>
        <v/>
      </c>
      <c r="T7" s="122">
        <f>SUM(T6:T6)</f>
        <v/>
      </c>
      <c r="U7" s="122">
        <f>SUM(U6:U6)</f>
        <v/>
      </c>
      <c r="V7" s="122">
        <f>SUM(V6:V6)</f>
        <v/>
      </c>
      <c r="W7" s="122">
        <f>SUM(W6:W6)</f>
        <v/>
      </c>
      <c r="X7" s="122">
        <f>SUM(X6:X6)</f>
        <v/>
      </c>
      <c r="Y7" s="122">
        <f>SUM(Y6:Y6)</f>
        <v/>
      </c>
      <c r="Z7" s="122">
        <f>SUM(Z6:Z6)</f>
        <v/>
      </c>
      <c r="AA7" s="122">
        <f>SUM(AA6:AA6)</f>
        <v/>
      </c>
      <c r="AB7" s="122">
        <f>SUM(AB6:AB6)</f>
        <v/>
      </c>
      <c r="AC7" s="122">
        <f>SUM(AC6:AC6)</f>
        <v/>
      </c>
      <c r="AD7" s="122">
        <f>SUM(AD6:AD6)</f>
        <v/>
      </c>
      <c r="AE7" s="122">
        <f>SUM(AE6:AE6)</f>
        <v/>
      </c>
      <c r="AF7" s="122">
        <f>SUM(AF6:AF6)</f>
        <v/>
      </c>
      <c r="AG7" s="122">
        <f>SUM(AG6:AG6)</f>
        <v/>
      </c>
      <c r="AH7" s="122">
        <f>SUM(AH6:AH6)</f>
        <v/>
      </c>
      <c r="AI7" s="122">
        <f>SUM(AI6:AI6)</f>
        <v/>
      </c>
      <c r="AJ7" s="122">
        <f>SUM(AJ6:AJ6)</f>
        <v/>
      </c>
      <c r="AK7" s="122">
        <f>SUM(AK6:AK6)</f>
        <v/>
      </c>
      <c r="AL7" s="122">
        <f>SUM(AL6:AL6)</f>
        <v/>
      </c>
      <c r="AM7" s="122">
        <f>SUM(AM6:AM6)</f>
        <v/>
      </c>
      <c r="AN7" s="122">
        <f>SUM(AN6:AN6)</f>
        <v/>
      </c>
      <c r="AO7" s="122">
        <f>SUM(AO6:AO6)</f>
        <v/>
      </c>
      <c r="AP7" s="122">
        <f>SUM(AP6:AP6)</f>
        <v/>
      </c>
      <c r="AQ7" s="122">
        <f>SUM(AQ6:AQ6)</f>
        <v/>
      </c>
      <c r="AR7" s="123" t="n"/>
      <c r="AY7" s="124" t="n"/>
    </row>
    <row r="8" ht="21.95" customFormat="1" customHeight="1" s="90"/>
    <row r="9" ht="21.95" customHeight="1" s="110"/>
    <row r="10" ht="21.95" customHeight="1" s="110"/>
    <row r="11" ht="21.95" customHeight="1" s="110"/>
    <row r="12" ht="21.95" customHeight="1" s="110"/>
    <row r="13" ht="21.95" customFormat="1" customHeight="1" s="90"/>
    <row r="14" ht="21.95" customFormat="1" customHeight="1" s="90"/>
    <row r="15" ht="21.95" customFormat="1" customHeight="1" s="90"/>
    <row r="16" ht="21.95" customFormat="1" customHeight="1" s="90"/>
    <row r="17" ht="21.95" customFormat="1" customHeight="1" s="90"/>
    <row r="18" ht="21.95" customFormat="1" customHeight="1" s="90"/>
    <row r="19" ht="21.95" customFormat="1" customHeight="1" s="90"/>
    <row r="20" ht="21.95" customFormat="1" customHeight="1" s="1"/>
    <row r="21" ht="21.95" customHeight="1" s="110"/>
    <row r="22" ht="21.95" customHeight="1" s="110"/>
    <row r="23" ht="22" customHeight="1" s="110"/>
    <row r="24" ht="21.95" customFormat="1" customHeight="1" s="90"/>
    <row r="25" ht="21.95" customHeight="1" s="110"/>
    <row r="26" ht="21.95" customHeight="1" s="110"/>
    <row r="27" ht="21.95" customHeight="1" s="110"/>
    <row r="28" ht="21.95" customHeight="1" s="110"/>
    <row r="29" ht="21.95" customHeight="1" s="110"/>
    <row r="30" ht="21.95" customFormat="1" customHeight="1" s="1"/>
    <row r="31" ht="24.95" customFormat="1" customHeight="1" s="1"/>
  </sheetData>
  <autoFilter ref="A5:AY31"/>
  <mergeCells count="32">
    <mergeCell ref="C4:C5"/>
    <mergeCell ref="T4:T5"/>
    <mergeCell ref="E4:E5"/>
    <mergeCell ref="AG4:AQ4"/>
    <mergeCell ref="V4:V5"/>
    <mergeCell ref="Q4:S4"/>
    <mergeCell ref="AW4:AW5"/>
    <mergeCell ref="AY4:AY5"/>
    <mergeCell ref="D4:D5"/>
    <mergeCell ref="J4:J5"/>
    <mergeCell ref="AR4:AR5"/>
    <mergeCell ref="L4:L5"/>
    <mergeCell ref="AT4:AT5"/>
    <mergeCell ref="X4:AF4"/>
    <mergeCell ref="A4:A5"/>
    <mergeCell ref="G4:G5"/>
    <mergeCell ref="I4:I5"/>
    <mergeCell ref="A3:W3"/>
    <mergeCell ref="K4:K5"/>
    <mergeCell ref="U4:U5"/>
    <mergeCell ref="B4:B5"/>
    <mergeCell ref="A1:W2"/>
    <mergeCell ref="F4:F5"/>
    <mergeCell ref="W4:W5"/>
    <mergeCell ref="H4:H5"/>
    <mergeCell ref="AV4:AV5"/>
    <mergeCell ref="P4:P5"/>
    <mergeCell ref="AX4:AX5"/>
    <mergeCell ref="AS4:AS5"/>
    <mergeCell ref="AU4:AU5"/>
    <mergeCell ref="A7:C7"/>
    <mergeCell ref="M4:N4"/>
  </mergeCells>
  <printOptions horizontalCentered="1"/>
  <pageMargins left="0.196527777777778" right="0.314583333333333" top="0.393055555555556" bottom="0.393055555555556" header="0.275" footer="0.275"/>
  <pageSetup orientation="landscape" paperSize="9" scale="58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lizhongmei</dc:creator>
  <dcterms:created xmlns:dcterms="http://purl.org/dc/terms/" xmlns:xsi="http://www.w3.org/2001/XMLSchema-instance" xsi:type="dcterms:W3CDTF">2019-09-10T02:31:00Z</dcterms:created>
  <dcterms:modified xmlns:dcterms="http://purl.org/dc/terms/" xmlns:xsi="http://www.w3.org/2001/XMLSchema-instance" xsi:type="dcterms:W3CDTF">2026-05-25T07:01:30Z</dcterms:modified>
  <cp:lastModifiedBy>胡馨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5E8F26A8A66B42FE96998E2468F7DD27_13</vt:lpwstr>
  </property>
  <property name="CalculationRule" fmtid="{D5CDD505-2E9C-101B-9397-08002B2CF9AE}" pid="4">
    <vt:i4 xmlns:vt="http://schemas.openxmlformats.org/officeDocument/2006/docPropsVTypes">0</vt:i4>
  </property>
</Properties>
</file>