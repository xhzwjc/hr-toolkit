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社保明细表模板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<sst xmlns="http://schemas.openxmlformats.org/spreadsheetml/2006/main" count="95" uniqueCount="63">
  <si>
    <t>XXX公司2025年9月社保明细表</t>
  </si>
  <si>
    <t>序号</t>
  </si>
  <si>
    <t>公司</t>
  </si>
  <si>
    <t>参保地</t>
  </si>
  <si>
    <t>项目</t>
  </si>
  <si>
    <t>姓名</t>
  </si>
  <si>
    <t>身份证</t>
  </si>
  <si>
    <t>参保时间</t>
  </si>
  <si>
    <t>账单期</t>
  </si>
  <si>
    <t>养老</t>
  </si>
  <si>
    <t>医疗</t>
  </si>
  <si>
    <t>失业</t>
  </si>
  <si>
    <t>工伤</t>
  </si>
  <si>
    <t>补充工伤</t>
  </si>
  <si>
    <t>生育</t>
  </si>
  <si>
    <t>大病医疗</t>
  </si>
  <si>
    <t>公积金</t>
  </si>
  <si>
    <t>残保金</t>
  </si>
  <si>
    <t>养老2025年7月-8月补差</t>
  </si>
  <si>
    <t>失业2025年7月-8月补差</t>
  </si>
  <si>
    <t>工伤2025年7月-8月补差</t>
  </si>
  <si>
    <t>医疗2025年7月-8月补差</t>
  </si>
  <si>
    <t>个人社保
补缴合计</t>
  </si>
  <si>
    <t>单位社保
补缴合计</t>
  </si>
  <si>
    <t>个人公积金
补缴合计</t>
  </si>
  <si>
    <t>单位公积金
补缴合计</t>
  </si>
  <si>
    <t>单位补缴滞纳金</t>
  </si>
  <si>
    <t>个人社保  合计</t>
  </si>
  <si>
    <t>单位社保  合计</t>
  </si>
  <si>
    <t>社保缴纳  合计</t>
  </si>
  <si>
    <t>个人公积金合计</t>
  </si>
  <si>
    <t>单位公积金合计</t>
  </si>
  <si>
    <t>公积金缴纳合计</t>
  </si>
  <si>
    <t>管理费</t>
  </si>
  <si>
    <t>税金</t>
  </si>
  <si>
    <t>费用总计</t>
  </si>
  <si>
    <t>备注</t>
  </si>
  <si>
    <t>基数</t>
  </si>
  <si>
    <t>个人(8%)</t>
  </si>
  <si>
    <t>个人金额</t>
  </si>
  <si>
    <t>单位(16%)</t>
  </si>
  <si>
    <t>单位金额</t>
  </si>
  <si>
    <t>个人(2%)</t>
  </si>
  <si>
    <t>单位(6.8%)</t>
  </si>
  <si>
    <t>个人(0.5%)</t>
  </si>
  <si>
    <t>个人  金额</t>
  </si>
  <si>
    <t>单位(0.5%)</t>
  </si>
  <si>
    <t>单位(0.32%)</t>
  </si>
  <si>
    <t>单位  金额</t>
  </si>
  <si>
    <t>单位(0.12%)</t>
  </si>
  <si>
    <t>单位(0.2%)</t>
  </si>
  <si>
    <t>个人(0.2%)</t>
  </si>
  <si>
    <t>单位(0.3%)</t>
  </si>
  <si>
    <t>个人(5%)</t>
  </si>
  <si>
    <t>单位(5%)</t>
  </si>
  <si>
    <t>个人</t>
  </si>
  <si>
    <t>金额</t>
  </si>
  <si>
    <t>单位</t>
  </si>
  <si>
    <t>春苗</t>
  </si>
  <si>
    <t>南昌</t>
  </si>
  <si>
    <t>上饶</t>
  </si>
  <si>
    <t>张三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</si>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</sst>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b/>
      <sz val="18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D6AF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1" applyNumberFormat="0" applyAlignment="0" applyProtection="0">
      <alignment vertical="center"/>
    </xf>
    <xf numFmtId="0" fontId="15" fillId="15" borderId="12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7" fillId="1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43" fontId="2" fillId="2" borderId="0" xfId="0" applyNumberFormat="1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3" fontId="4" fillId="2" borderId="6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10" fontId="5" fillId="0" borderId="2" xfId="0" applyNumberFormat="1" applyFont="1" applyFill="1" applyBorder="1" applyAlignment="1" applyProtection="1">
      <alignment horizontal="center" vertical="center"/>
    </xf>
    <xf numFmtId="176" fontId="5" fillId="0" borderId="2" xfId="0" applyNumberFormat="1" applyFont="1" applyFill="1" applyBorder="1" applyAlignment="1" applyProtection="1">
      <alignment horizontal="center" vertical="center"/>
    </xf>
    <xf numFmtId="10" fontId="5" fillId="0" borderId="2" xfId="3" applyNumberFormat="1" applyFont="1" applyFill="1" applyBorder="1" applyAlignment="1">
      <alignment horizontal="center" vertical="center"/>
    </xf>
    <xf numFmtId="0" fontId="5" fillId="9" borderId="2" xfId="0" applyNumberFormat="1" applyFont="1" applyFill="1" applyBorder="1" applyAlignment="1" applyProtection="1">
      <alignment horizontal="center" vertical="center"/>
    </xf>
    <xf numFmtId="10" fontId="5" fillId="9" borderId="2" xfId="0" applyNumberFormat="1" applyFont="1" applyFill="1" applyBorder="1" applyAlignment="1" applyProtection="1">
      <alignment horizontal="center" vertical="center"/>
    </xf>
    <xf numFmtId="0" fontId="5" fillId="10" borderId="2" xfId="0" applyNumberFormat="1" applyFont="1" applyFill="1" applyBorder="1" applyAlignment="1" applyProtection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/>
    </xf>
    <xf numFmtId="43" fontId="5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4"/>
  <sheetViews>
    <sheetView tabSelected="1" workbookViewId="0">
      <selection activeCell="H13" sqref="H13"/>
    </sheetView>
  </sheetViews>
  <sheetFormatPr defaultColWidth="9" defaultRowHeight="14" outlineLevelRow="3"/>
  <cols>
    <col min="1" max="1" width="5.12727272727273" style="2" customWidth="1"/>
    <col min="2" max="2" width="6.44545454545455" style="2" customWidth="1"/>
    <col min="3" max="3" width="6.62727272727273" style="2" customWidth="1"/>
    <col min="4" max="4" width="9.21818181818182" style="2" customWidth="1"/>
    <col min="5" max="5" width="9" style="3" customWidth="1"/>
    <col min="6" max="6" width="14.7818181818182" style="2" customWidth="1"/>
    <col min="7" max="7" width="9.66363636363636" style="2" customWidth="1"/>
    <col min="8" max="8" width="8.38181818181818" style="2" customWidth="1"/>
    <col min="9" max="9" width="4.88181818181818" style="2" customWidth="1"/>
    <col min="10" max="10" width="8" style="2" customWidth="1"/>
    <col min="11" max="11" width="10.7818181818182" style="2" customWidth="1"/>
    <col min="12" max="12" width="8.62727272727273" style="2" customWidth="1"/>
    <col min="13" max="13" width="10.7818181818182" style="4" customWidth="1"/>
    <col min="14" max="14" width="8.62727272727273" style="5" customWidth="1"/>
    <col min="15" max="15" width="8.62727272727273" style="2" customWidth="1"/>
    <col min="16" max="16" width="9.66363636363636" style="2" customWidth="1"/>
    <col min="17" max="17" width="8.62727272727273" style="6" customWidth="1"/>
    <col min="18" max="18" width="10.7818181818182" style="2" customWidth="1"/>
    <col min="19" max="19" width="7.5" style="2" customWidth="1"/>
    <col min="20" max="20" width="6.62727272727273" style="2" customWidth="1"/>
    <col min="21" max="21" width="9.66363636363636" style="2" customWidth="1"/>
    <col min="22" max="22" width="7.12727272727273" style="2" customWidth="1"/>
    <col min="23" max="23" width="9.66363636363636" style="4" customWidth="1"/>
    <col min="24" max="24" width="7.5" style="2" customWidth="1"/>
    <col min="25" max="25" width="7.88181818181818" style="6" customWidth="1"/>
    <col min="26" max="26" width="8.66363636363636" style="4" customWidth="1"/>
    <col min="27" max="27" width="7.5" style="2" customWidth="1"/>
    <col min="28" max="28" width="9.38181818181818" style="2" customWidth="1"/>
    <col min="29" max="29" width="8.66363636363636" style="2" customWidth="1"/>
    <col min="30" max="33" width="6.25454545454545" style="2" customWidth="1"/>
    <col min="34" max="34" width="7.12727272727273" style="2" customWidth="1"/>
    <col min="35" max="35" width="8.66363636363636" style="2" customWidth="1"/>
    <col min="36" max="36" width="7.12727272727273" style="2" customWidth="1"/>
    <col min="37" max="43" width="9.66363636363636" style="2" customWidth="1"/>
    <col min="44" max="45" width="5.75454545454545" style="2" customWidth="1"/>
    <col min="46" max="46" width="6.75454545454545" style="2" customWidth="1"/>
    <col min="47" max="47" width="5.75454545454545" style="2" customWidth="1"/>
    <col min="48" max="48" width="7.89090909090909" style="2" customWidth="1"/>
    <col min="49" max="49" width="5.38181818181818" style="2" customWidth="1"/>
    <col min="50" max="50" width="6.62727272727273" style="2" customWidth="1"/>
    <col min="51" max="51" width="6.38181818181818" style="2" customWidth="1"/>
    <col min="52" max="53" width="6.62727272727273" style="2" customWidth="1"/>
    <col min="54" max="54" width="5.25454545454545" style="2" customWidth="1"/>
    <col min="55" max="55" width="6.62727272727273" style="2" customWidth="1"/>
    <col min="56" max="61" width="5.62727272727273" style="2" customWidth="1"/>
    <col min="62" max="63" width="7.62727272727273" style="5" customWidth="1"/>
    <col min="64" max="65" width="9.38181818181818" style="2" customWidth="1"/>
    <col min="66" max="66" width="12.8818181818182" style="2" customWidth="1"/>
    <col min="67" max="72" width="10.6272727272727" style="4" customWidth="1"/>
    <col min="73" max="73" width="6.88181818181818" style="7" customWidth="1"/>
    <col min="74" max="74" width="10.6272727272727" style="4" customWidth="1"/>
    <col min="75" max="75" width="11.2545454545455" style="4" customWidth="1"/>
    <col min="76" max="76" width="15.3818181818182" style="5" customWidth="1"/>
  </cols>
  <sheetData>
    <row r="1" customFormat="1" ht="42" customHeight="1" spans="1:76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8"/>
      <c r="O1" s="8"/>
      <c r="P1" s="8"/>
      <c r="Q1" s="8"/>
      <c r="R1" s="8"/>
      <c r="S1" s="8"/>
      <c r="T1" s="8"/>
      <c r="U1" s="8"/>
      <c r="V1" s="8"/>
      <c r="W1" s="9"/>
      <c r="X1" s="8"/>
      <c r="Y1" s="8"/>
      <c r="Z1" s="9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9"/>
      <c r="BP1" s="9"/>
      <c r="BQ1" s="9"/>
      <c r="BR1" s="9"/>
      <c r="BS1" s="9"/>
      <c r="BT1" s="9"/>
      <c r="BU1" s="9"/>
      <c r="BV1" s="9"/>
      <c r="BW1" s="9"/>
      <c r="BX1" s="8"/>
    </row>
    <row r="2" customFormat="1" ht="25" customHeight="1" spans="1:76">
      <c r="A2" s="10" t="s">
        <v>1</v>
      </c>
      <c r="B2" s="10" t="s">
        <v>2</v>
      </c>
      <c r="C2" s="11" t="s">
        <v>3</v>
      </c>
      <c r="D2" s="12" t="s">
        <v>4</v>
      </c>
      <c r="E2" s="12" t="s">
        <v>5</v>
      </c>
      <c r="F2" s="13" t="s">
        <v>6</v>
      </c>
      <c r="G2" s="13" t="s">
        <v>7</v>
      </c>
      <c r="H2" s="13" t="s">
        <v>8</v>
      </c>
      <c r="I2" s="14" t="s">
        <v>9</v>
      </c>
      <c r="J2" s="15"/>
      <c r="K2" s="15"/>
      <c r="L2" s="15"/>
      <c r="M2" s="16"/>
      <c r="N2" s="17" t="s">
        <v>10</v>
      </c>
      <c r="O2" s="18"/>
      <c r="P2" s="18"/>
      <c r="Q2" s="19"/>
      <c r="R2" s="18"/>
      <c r="S2" s="20" t="s">
        <v>11</v>
      </c>
      <c r="T2" s="20"/>
      <c r="U2" s="20"/>
      <c r="V2" s="20"/>
      <c r="W2" s="21"/>
      <c r="X2" s="22" t="s">
        <v>12</v>
      </c>
      <c r="Y2" s="11"/>
      <c r="Z2" s="21"/>
      <c r="AA2" s="23" t="s">
        <v>13</v>
      </c>
      <c r="AB2" s="23"/>
      <c r="AC2" s="23"/>
      <c r="AD2" s="24" t="s">
        <v>14</v>
      </c>
      <c r="AE2" s="24"/>
      <c r="AF2" s="24"/>
      <c r="AG2" s="25" t="s">
        <v>15</v>
      </c>
      <c r="AH2" s="25"/>
      <c r="AI2" s="25"/>
      <c r="AJ2" s="25"/>
      <c r="AK2" s="26"/>
      <c r="AL2" s="27" t="s">
        <v>16</v>
      </c>
      <c r="AM2" s="27"/>
      <c r="AN2" s="27"/>
      <c r="AO2" s="27"/>
      <c r="AP2" s="28"/>
      <c r="AQ2" s="29" t="s">
        <v>17</v>
      </c>
      <c r="AR2" s="30" t="s">
        <v>18</v>
      </c>
      <c r="AS2" s="31"/>
      <c r="AT2" s="31"/>
      <c r="AU2" s="31"/>
      <c r="AV2" s="31"/>
      <c r="AW2" s="32" t="s">
        <v>19</v>
      </c>
      <c r="AX2" s="33"/>
      <c r="AY2" s="33"/>
      <c r="AZ2" s="33"/>
      <c r="BA2" s="34"/>
      <c r="BB2" s="35" t="s">
        <v>20</v>
      </c>
      <c r="BC2" s="36"/>
      <c r="BD2" s="37"/>
      <c r="BE2" s="32" t="s">
        <v>21</v>
      </c>
      <c r="BF2" s="33"/>
      <c r="BG2" s="33"/>
      <c r="BH2" s="33"/>
      <c r="BI2" s="34"/>
      <c r="BJ2" s="10" t="s">
        <v>22</v>
      </c>
      <c r="BK2" s="10" t="s">
        <v>23</v>
      </c>
      <c r="BL2" s="10" t="s">
        <v>24</v>
      </c>
      <c r="BM2" s="10" t="s">
        <v>25</v>
      </c>
      <c r="BN2" s="10" t="s">
        <v>26</v>
      </c>
      <c r="BO2" s="37" t="s">
        <v>27</v>
      </c>
      <c r="BP2" s="38" t="s">
        <v>28</v>
      </c>
      <c r="BQ2" s="38" t="s">
        <v>29</v>
      </c>
      <c r="BR2" s="37" t="s">
        <v>30</v>
      </c>
      <c r="BS2" s="37" t="s">
        <v>31</v>
      </c>
      <c r="BT2" s="38" t="s">
        <v>32</v>
      </c>
      <c r="BU2" s="39" t="s">
        <v>33</v>
      </c>
      <c r="BV2" s="38" t="s">
        <v>34</v>
      </c>
      <c r="BW2" s="38" t="s">
        <v>35</v>
      </c>
      <c r="BX2" s="11" t="s">
        <v>36</v>
      </c>
    </row>
    <row r="3" customFormat="1" ht="41" customHeight="1" spans="1:76">
      <c r="A3" s="40"/>
      <c r="B3" s="40"/>
      <c r="C3" s="11"/>
      <c r="D3" s="12"/>
      <c r="E3" s="12"/>
      <c r="F3" s="41"/>
      <c r="G3" s="41"/>
      <c r="H3" s="41"/>
      <c r="I3" s="42" t="s">
        <v>37</v>
      </c>
      <c r="J3" s="42" t="s">
        <v>38</v>
      </c>
      <c r="K3" s="42" t="s">
        <v>39</v>
      </c>
      <c r="L3" s="42" t="s">
        <v>40</v>
      </c>
      <c r="M3" s="42" t="s">
        <v>41</v>
      </c>
      <c r="N3" s="43" t="s">
        <v>37</v>
      </c>
      <c r="O3" s="43" t="s">
        <v>42</v>
      </c>
      <c r="P3" s="43" t="s">
        <v>39</v>
      </c>
      <c r="Q3" s="43" t="s">
        <v>43</v>
      </c>
      <c r="R3" s="17" t="s">
        <v>41</v>
      </c>
      <c r="S3" s="44" t="s">
        <v>37</v>
      </c>
      <c r="T3" s="44" t="s">
        <v>44</v>
      </c>
      <c r="U3" s="44" t="s">
        <v>45</v>
      </c>
      <c r="V3" s="44" t="s">
        <v>46</v>
      </c>
      <c r="W3" s="44" t="s">
        <v>41</v>
      </c>
      <c r="X3" s="35" t="s">
        <v>37</v>
      </c>
      <c r="Y3" s="35" t="s">
        <v>47</v>
      </c>
      <c r="Z3" s="35" t="s">
        <v>48</v>
      </c>
      <c r="AA3" s="45" t="s">
        <v>37</v>
      </c>
      <c r="AB3" s="45" t="s">
        <v>49</v>
      </c>
      <c r="AC3" s="45" t="s">
        <v>48</v>
      </c>
      <c r="AD3" s="45" t="s">
        <v>37</v>
      </c>
      <c r="AE3" s="45" t="s">
        <v>50</v>
      </c>
      <c r="AF3" s="45" t="s">
        <v>48</v>
      </c>
      <c r="AG3" s="44" t="s">
        <v>37</v>
      </c>
      <c r="AH3" s="44" t="s">
        <v>51</v>
      </c>
      <c r="AI3" s="44" t="s">
        <v>45</v>
      </c>
      <c r="AJ3" s="44" t="s">
        <v>52</v>
      </c>
      <c r="AK3" s="44" t="s">
        <v>41</v>
      </c>
      <c r="AL3" s="46" t="s">
        <v>37</v>
      </c>
      <c r="AM3" s="46" t="s">
        <v>53</v>
      </c>
      <c r="AN3" s="46" t="s">
        <v>39</v>
      </c>
      <c r="AO3" s="46" t="s">
        <v>54</v>
      </c>
      <c r="AP3" s="46" t="s">
        <v>41</v>
      </c>
      <c r="AQ3" s="29" t="s">
        <v>41</v>
      </c>
      <c r="AR3" s="47" t="s">
        <v>37</v>
      </c>
      <c r="AS3" s="47" t="s">
        <v>55</v>
      </c>
      <c r="AT3" s="47" t="s">
        <v>56</v>
      </c>
      <c r="AU3" s="47" t="s">
        <v>57</v>
      </c>
      <c r="AV3" s="47" t="s">
        <v>56</v>
      </c>
      <c r="AW3" s="48" t="s">
        <v>37</v>
      </c>
      <c r="AX3" s="48" t="s">
        <v>55</v>
      </c>
      <c r="AY3" s="48" t="s">
        <v>56</v>
      </c>
      <c r="AZ3" s="48" t="s">
        <v>57</v>
      </c>
      <c r="BA3" s="48" t="s">
        <v>56</v>
      </c>
      <c r="BB3" s="35" t="s">
        <v>37</v>
      </c>
      <c r="BC3" s="35" t="s">
        <v>57</v>
      </c>
      <c r="BD3" s="35" t="s">
        <v>48</v>
      </c>
      <c r="BE3" s="48" t="s">
        <v>37</v>
      </c>
      <c r="BF3" s="48" t="s">
        <v>55</v>
      </c>
      <c r="BG3" s="48" t="s">
        <v>56</v>
      </c>
      <c r="BH3" s="48" t="s">
        <v>57</v>
      </c>
      <c r="BI3" s="48" t="s">
        <v>56</v>
      </c>
      <c r="BJ3" s="41"/>
      <c r="BK3" s="41"/>
      <c r="BL3" s="41"/>
      <c r="BM3" s="41"/>
      <c r="BN3" s="40"/>
      <c r="BO3" s="37"/>
      <c r="BP3" s="49"/>
      <c r="BQ3" s="49"/>
      <c r="BR3" s="37"/>
      <c r="BS3" s="37"/>
      <c r="BT3" s="49"/>
      <c r="BU3" s="50"/>
      <c r="BV3" s="49"/>
      <c r="BW3" s="49"/>
      <c r="BX3" s="11"/>
    </row>
    <row r="4" s="1" customFormat="1" ht="18" customHeight="1" spans="1:76">
      <c r="A4" s="51">
        <v>1</v>
      </c>
      <c r="B4" s="52" t="s">
        <v>58</v>
      </c>
      <c r="C4" s="53" t="s">
        <v>59</v>
      </c>
      <c r="D4" s="53" t="s">
        <v>60</v>
      </c>
      <c r="E4" s="54" t="s">
        <v>61</v>
      </c>
      <c r="F4" s="55" t="s">
        <v>62</v>
      </c>
      <c r="G4" s="51">
        <v>202509</v>
      </c>
      <c r="H4" s="53">
        <v>202605</v>
      </c>
      <c r="I4" s="53">
        <v>1234</v>
      </c>
      <c r="J4" s="56">
        <v>0.08</v>
      </c>
      <c r="K4" s="53">
        <f>ROUND(I4*J4,2)</f>
        <v>98.72</v>
      </c>
      <c r="L4" s="56">
        <v>0.16</v>
      </c>
      <c r="M4" s="53">
        <f>ROUND(I4*L4,2)</f>
        <v>197.44</v>
      </c>
      <c r="N4" s="53">
        <v>1234</v>
      </c>
      <c r="O4" s="57">
        <v>0.02</v>
      </c>
      <c r="P4" s="53">
        <f>ROUND(N4*O4,2)</f>
        <v>24.68</v>
      </c>
      <c r="Q4" s="56">
        <v>0.068</v>
      </c>
      <c r="R4" s="53">
        <f>ROUND(N4*Q4,2)</f>
        <v>83.91</v>
      </c>
      <c r="S4" s="53">
        <v>1234</v>
      </c>
      <c r="T4" s="56">
        <v>0.005</v>
      </c>
      <c r="U4" s="53">
        <f>ROUND(S4*T4,2)</f>
        <v>6.17</v>
      </c>
      <c r="V4" s="56">
        <v>0.005</v>
      </c>
      <c r="W4" s="53">
        <f>ROUND(S4*V4,2)</f>
        <v>6.17</v>
      </c>
      <c r="X4" s="53">
        <v>1234</v>
      </c>
      <c r="Y4" s="56">
        <v>0.0032</v>
      </c>
      <c r="Z4" s="53">
        <f>ROUND(X4*Y4,2)</f>
        <v>3.95</v>
      </c>
      <c r="AA4" s="53">
        <v>1234</v>
      </c>
      <c r="AB4" s="58">
        <v>0.0012</v>
      </c>
      <c r="AC4" s="53">
        <f>ROUND(AA4*AB4,2)</f>
        <v>1.48</v>
      </c>
      <c r="AD4" s="53">
        <v>1234</v>
      </c>
      <c r="AE4" s="56">
        <v>0.002</v>
      </c>
      <c r="AF4" s="53">
        <f>ROUND(AD4*AE4,2)</f>
        <v>2.47</v>
      </c>
      <c r="AG4" s="53">
        <v>1234</v>
      </c>
      <c r="AH4" s="56">
        <v>0.002</v>
      </c>
      <c r="AI4" s="53">
        <f>ROUND(AG4*AH4,2)</f>
        <v>2.47</v>
      </c>
      <c r="AJ4" s="56">
        <v>0.003</v>
      </c>
      <c r="AK4" s="53">
        <f>ROUND(AG4*AJ4,2)</f>
        <v>3.7</v>
      </c>
      <c r="AL4" s="59">
        <v>1234</v>
      </c>
      <c r="AM4" s="60">
        <v>0.05</v>
      </c>
      <c r="AN4" s="59">
        <f>ROUND(AL4*AM4,2)</f>
        <v>61.7</v>
      </c>
      <c r="AO4" s="60">
        <v>0.05</v>
      </c>
      <c r="AP4" s="59">
        <f>ROUND(AL4*AO4,2)</f>
        <v>61.7</v>
      </c>
      <c r="AQ4" s="61">
        <v>0</v>
      </c>
      <c r="AR4" s="53">
        <v>1234</v>
      </c>
      <c r="AS4" s="56">
        <v>0.02</v>
      </c>
      <c r="AT4" s="53">
        <v>12.16</v>
      </c>
      <c r="AU4" s="56">
        <v>0.068</v>
      </c>
      <c r="AV4" s="53">
        <v>24.32</v>
      </c>
      <c r="AW4" s="53">
        <v>1234</v>
      </c>
      <c r="AX4" s="56">
        <v>0.005</v>
      </c>
      <c r="AY4" s="53">
        <v>0.76</v>
      </c>
      <c r="AZ4" s="56">
        <v>0.005</v>
      </c>
      <c r="BA4" s="53">
        <v>0.76</v>
      </c>
      <c r="BB4" s="53">
        <v>1234</v>
      </c>
      <c r="BC4" s="56">
        <v>0.0032</v>
      </c>
      <c r="BD4" s="53">
        <v>0.5</v>
      </c>
      <c r="BE4" s="53">
        <v>1234</v>
      </c>
      <c r="BF4" s="56">
        <v>0.005</v>
      </c>
      <c r="BG4" s="53">
        <v>0.76</v>
      </c>
      <c r="BH4" s="56">
        <v>0.005</v>
      </c>
      <c r="BI4" s="53">
        <v>0.76</v>
      </c>
      <c r="BJ4" s="54">
        <f>AT4+AY4</f>
        <v>12.92</v>
      </c>
      <c r="BK4" s="54">
        <f>AV4+BA4+BD4+BI4</f>
        <v>26.34</v>
      </c>
      <c r="BL4" s="54"/>
      <c r="BM4" s="54"/>
      <c r="BN4" s="54"/>
      <c r="BO4" s="62">
        <f>K4+P4+U4+AI4+BJ4</f>
        <v>144.96</v>
      </c>
      <c r="BP4" s="62">
        <f>M4+R4+W4+Z4+AK4+BK4+AC4+BN4</f>
        <v>322.99</v>
      </c>
      <c r="BQ4" s="62">
        <f>BO4+BP4</f>
        <v>467.95</v>
      </c>
      <c r="BR4" s="62"/>
      <c r="BS4" s="62"/>
      <c r="BT4" s="62"/>
      <c r="BU4" s="63">
        <v>0</v>
      </c>
      <c r="BV4" s="62">
        <f>ROUND((BQ4+BU4)*6.72%,2)</f>
        <v>31.45</v>
      </c>
      <c r="BW4" s="62">
        <f>BQ4+BU4+BV4</f>
        <v>499.4</v>
      </c>
      <c r="BX4" s="51"/>
    </row>
  </sheetData>
  <mergeCells count="36">
    <mergeCell ref="A1:BX1"/>
    <mergeCell ref="I2:M2"/>
    <mergeCell ref="N2:R2"/>
    <mergeCell ref="S2:W2"/>
    <mergeCell ref="X2:Z2"/>
    <mergeCell ref="AA2:AC2"/>
    <mergeCell ref="AD2:AF2"/>
    <mergeCell ref="AG2:AK2"/>
    <mergeCell ref="AL2:AP2"/>
    <mergeCell ref="AR2:AV2"/>
    <mergeCell ref="AW2:BA2"/>
    <mergeCell ref="BB2:BD2"/>
    <mergeCell ref="BE2:BI2"/>
    <mergeCell ref="A2:A3"/>
    <mergeCell ref="B2:B3"/>
    <mergeCell ref="C2:C3"/>
    <mergeCell ref="D2:D3"/>
    <mergeCell ref="E2:E3"/>
    <mergeCell ref="F2:F3"/>
    <mergeCell ref="G2:G3"/>
    <mergeCell ref="H2:H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</mergeCells>
  <conditionalFormatting sqref="F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社保明细表模板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安沄</cp:lastModifiedBy>
  <dcterms:created xsi:type="dcterms:W3CDTF">2026-05-25T05:54:19Z</dcterms:created>
  <dcterms:modified xsi:type="dcterms:W3CDTF">2026-05-25T05:54:19Z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63DE8ABEB4994FC79959AD1BDF195C81_11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