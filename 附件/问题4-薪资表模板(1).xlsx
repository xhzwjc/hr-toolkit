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204" activeTab="1"/>
  </bookViews>
  <sheets>
    <sheet name="汇总表" sheetId="2" r:id="rId1"/>
    <sheet name="明细表" sheetId="1" r:id="rId2"/>
  </sheets>
  <definedNames>
    <definedName name="_xlnm._FilterDatabase" localSheetId="1" hidden="1">明细表!$A$5:$AY$31</definedName>
    <definedName name="_xlnm.Print_Area" localSheetId="1">明细表!$A$1:$W$31</definedName>
    <definedName name="_xlnm.Print_Titles" localSheetId="1">明细表!$1:$5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R5" authorId="0">
      <text>
        <r>
          <rPr>
            <sz val="9"/>
            <rFont val="宋体"/>
            <charset val="134"/>
          </rPr>
          <t>10月工资的税费我没有动，请核查好并修改。</t>
        </r>
      </text>
    </comment>
  </commentList>
</comments>
</file>

<file path=xl/sharedStrings.xml><?xml version="1.0" encoding="utf-8"?>
<sst xmlns="http://schemas.openxmlformats.org/spreadsheetml/2006/main" count="179" uniqueCount="114">
  <si>
    <t>唐人数智科技股份有限公司广东分公司（河源项目部）车租汇总表</t>
  </si>
  <si>
    <t>项目名称</t>
  </si>
  <si>
    <t>本月人数</t>
  </si>
  <si>
    <t>本月应发工资</t>
  </si>
  <si>
    <t>本月实发工资</t>
  </si>
  <si>
    <t>其他扣款</t>
  </si>
  <si>
    <t>个税代扣金额</t>
  </si>
  <si>
    <t>社保个人部分</t>
  </si>
  <si>
    <t>社保单位部分</t>
  </si>
  <si>
    <t>合计</t>
  </si>
  <si>
    <t>养老</t>
  </si>
  <si>
    <t>社保补差</t>
  </si>
  <si>
    <t>医疗</t>
  </si>
  <si>
    <t>大病医疗</t>
  </si>
  <si>
    <t>失业</t>
  </si>
  <si>
    <t>公积金</t>
  </si>
  <si>
    <t>工伤</t>
  </si>
  <si>
    <t>生育</t>
  </si>
  <si>
    <t>滞纳金</t>
  </si>
  <si>
    <t>广东河源市2026年4月移动基站代维项目</t>
  </si>
  <si>
    <t>广东河源市2026年4月移动线路代维项目</t>
  </si>
  <si>
    <t>总经理：                            财务中心：                            人力资源部：                          运营商事业部：                         制表人：</t>
  </si>
  <si>
    <t>唐人数智科技股份有限公司广东分公司（河源项目部）车租明细表</t>
  </si>
  <si>
    <t>序号</t>
  </si>
  <si>
    <t>姓名</t>
  </si>
  <si>
    <r>
      <rPr>
        <b/>
        <sz val="9"/>
        <color theme="1"/>
        <rFont val="宋体"/>
        <charset val="134"/>
      </rPr>
      <t>正式</t>
    </r>
    <r>
      <rPr>
        <b/>
        <sz val="9"/>
        <color theme="1"/>
        <rFont val="Times New Roman"/>
        <charset val="134"/>
      </rPr>
      <t>/</t>
    </r>
    <r>
      <rPr>
        <b/>
        <sz val="9"/>
        <color theme="1"/>
        <rFont val="宋体"/>
        <charset val="134"/>
      </rPr>
      <t>试用</t>
    </r>
  </si>
  <si>
    <t>身份证号码</t>
  </si>
  <si>
    <t>基础工资</t>
  </si>
  <si>
    <t>岗位工资</t>
  </si>
  <si>
    <t>保密津贴</t>
  </si>
  <si>
    <r>
      <rPr>
        <b/>
        <sz val="10"/>
        <color theme="1"/>
        <rFont val="宋体"/>
        <charset val="134"/>
      </rPr>
      <t>午</t>
    </r>
    <r>
      <rPr>
        <b/>
        <sz val="10"/>
        <color theme="1"/>
        <rFont val="Times New Roman"/>
        <charset val="134"/>
      </rPr>
      <t>/</t>
    </r>
    <r>
      <rPr>
        <b/>
        <sz val="10"/>
        <color theme="1"/>
        <rFont val="宋体"/>
        <charset val="134"/>
      </rPr>
      <t>误餐补贴</t>
    </r>
  </si>
  <si>
    <t>交通补贴</t>
  </si>
  <si>
    <t>话费补贴</t>
  </si>
  <si>
    <t>电脑及工具补贴</t>
  </si>
  <si>
    <t>车租</t>
  </si>
  <si>
    <t>扣款</t>
  </si>
  <si>
    <t>应发小计</t>
  </si>
  <si>
    <t>应扣小计</t>
  </si>
  <si>
    <t>实发小计</t>
  </si>
  <si>
    <t>单位缴纳社保及公积金</t>
  </si>
  <si>
    <t>公司付款合计</t>
  </si>
  <si>
    <t>个人社保及公积金扣款明细</t>
  </si>
  <si>
    <t>单位缴纳社保及公积金明细</t>
  </si>
  <si>
    <r>
      <rPr>
        <b/>
        <sz val="10"/>
        <color theme="1"/>
        <rFont val="宋体"/>
        <charset val="134"/>
      </rPr>
      <t>区域</t>
    </r>
  </si>
  <si>
    <r>
      <rPr>
        <b/>
        <sz val="10"/>
        <color theme="1"/>
        <rFont val="宋体"/>
        <charset val="134"/>
      </rPr>
      <t>项目</t>
    </r>
  </si>
  <si>
    <r>
      <rPr>
        <b/>
        <sz val="10"/>
        <color theme="1"/>
        <rFont val="宋体"/>
        <charset val="134"/>
      </rPr>
      <t>岗位</t>
    </r>
  </si>
  <si>
    <r>
      <rPr>
        <b/>
        <sz val="10"/>
        <color theme="1"/>
        <rFont val="宋体"/>
        <charset val="134"/>
      </rPr>
      <t>入职公司</t>
    </r>
  </si>
  <si>
    <r>
      <rPr>
        <b/>
        <sz val="10"/>
        <color theme="1"/>
        <rFont val="宋体"/>
        <charset val="134"/>
      </rPr>
      <t>卡号</t>
    </r>
  </si>
  <si>
    <r>
      <rPr>
        <b/>
        <sz val="10"/>
        <color theme="1"/>
        <rFont val="宋体"/>
        <charset val="134"/>
      </rPr>
      <t>开户行</t>
    </r>
  </si>
  <si>
    <r>
      <rPr>
        <b/>
        <sz val="10"/>
        <color theme="1"/>
        <rFont val="宋体"/>
        <charset val="134"/>
      </rPr>
      <t>手机号</t>
    </r>
  </si>
  <si>
    <r>
      <rPr>
        <b/>
        <sz val="10"/>
        <color theme="1"/>
        <rFont val="宋体"/>
        <charset val="134"/>
      </rPr>
      <t>专项扣款</t>
    </r>
  </si>
  <si>
    <t>考勤</t>
  </si>
  <si>
    <t>考核</t>
  </si>
  <si>
    <t>其它</t>
  </si>
  <si>
    <t>个人社保及其他</t>
  </si>
  <si>
    <t>个税</t>
  </si>
  <si>
    <t>养老合计</t>
  </si>
  <si>
    <t>医疗合计</t>
  </si>
  <si>
    <t>住房公积金</t>
  </si>
  <si>
    <t>小计</t>
  </si>
  <si>
    <t>大病保险</t>
  </si>
  <si>
    <r>
      <t>员工</t>
    </r>
    <r>
      <rPr>
        <sz val="10"/>
        <color theme="1"/>
        <rFont val="Times New Roman"/>
        <charset val="134"/>
      </rPr>
      <t>1</t>
    </r>
  </si>
  <si>
    <t>正式</t>
  </si>
  <si>
    <t>44162219901007667X</t>
  </si>
  <si>
    <t>春苗北京</t>
  </si>
  <si>
    <r>
      <t>员工</t>
    </r>
    <r>
      <rPr>
        <sz val="10"/>
        <color theme="1"/>
        <rFont val="Times New Roman"/>
        <charset val="134"/>
      </rPr>
      <t>2</t>
    </r>
  </si>
  <si>
    <t>441622198404210312</t>
  </si>
  <si>
    <r>
      <t>员工</t>
    </r>
    <r>
      <rPr>
        <sz val="10"/>
        <color theme="1"/>
        <rFont val="Times New Roman"/>
        <charset val="134"/>
      </rPr>
      <t>3</t>
    </r>
  </si>
  <si>
    <t>44162219800516649X</t>
  </si>
  <si>
    <t>岩亨</t>
  </si>
  <si>
    <r>
      <t>员工</t>
    </r>
    <r>
      <rPr>
        <sz val="10"/>
        <color theme="1"/>
        <rFont val="Times New Roman"/>
        <charset val="134"/>
      </rPr>
      <t>4</t>
    </r>
  </si>
  <si>
    <t>44132419860927333X</t>
  </si>
  <si>
    <r>
      <t>员工</t>
    </r>
    <r>
      <rPr>
        <sz val="10"/>
        <color theme="1"/>
        <rFont val="Times New Roman"/>
        <charset val="134"/>
      </rPr>
      <t>5</t>
    </r>
  </si>
  <si>
    <t>441624198008075211</t>
  </si>
  <si>
    <r>
      <t>员工</t>
    </r>
    <r>
      <rPr>
        <sz val="10"/>
        <color theme="1"/>
        <rFont val="Times New Roman"/>
        <charset val="134"/>
      </rPr>
      <t>6</t>
    </r>
  </si>
  <si>
    <t>441623197105100019</t>
  </si>
  <si>
    <r>
      <t>员工</t>
    </r>
    <r>
      <rPr>
        <sz val="10"/>
        <color theme="1"/>
        <rFont val="Times New Roman"/>
        <charset val="134"/>
      </rPr>
      <t>7</t>
    </r>
  </si>
  <si>
    <t>441622199501100312</t>
  </si>
  <si>
    <r>
      <t>员工</t>
    </r>
    <r>
      <rPr>
        <sz val="10"/>
        <color theme="1"/>
        <rFont val="Times New Roman"/>
        <charset val="134"/>
      </rPr>
      <t>8</t>
    </r>
  </si>
  <si>
    <t>442000198506121265</t>
  </si>
  <si>
    <t>唐人</t>
  </si>
  <si>
    <r>
      <t>员工</t>
    </r>
    <r>
      <rPr>
        <sz val="10"/>
        <color theme="1"/>
        <rFont val="Times New Roman"/>
        <charset val="134"/>
      </rPr>
      <t>9</t>
    </r>
  </si>
  <si>
    <t>441623198611131314</t>
  </si>
  <si>
    <r>
      <t>员工</t>
    </r>
    <r>
      <rPr>
        <sz val="10"/>
        <color theme="1"/>
        <rFont val="Times New Roman"/>
        <charset val="134"/>
      </rPr>
      <t>10</t>
    </r>
  </si>
  <si>
    <t>441623197310283715</t>
  </si>
  <si>
    <r>
      <t>员工</t>
    </r>
    <r>
      <rPr>
        <sz val="10"/>
        <color theme="1"/>
        <rFont val="Times New Roman"/>
        <charset val="134"/>
      </rPr>
      <t>11</t>
    </r>
  </si>
  <si>
    <t>441623197808030010</t>
  </si>
  <si>
    <r>
      <t>员工</t>
    </r>
    <r>
      <rPr>
        <sz val="10"/>
        <color theme="1"/>
        <rFont val="Times New Roman"/>
        <charset val="134"/>
      </rPr>
      <t>12</t>
    </r>
  </si>
  <si>
    <t>441624197909130551</t>
  </si>
  <si>
    <r>
      <t>员工</t>
    </r>
    <r>
      <rPr>
        <sz val="10"/>
        <color theme="1"/>
        <rFont val="Times New Roman"/>
        <charset val="134"/>
      </rPr>
      <t>13</t>
    </r>
  </si>
  <si>
    <t>441624199703064113</t>
  </si>
  <si>
    <r>
      <t>员工</t>
    </r>
    <r>
      <rPr>
        <sz val="10"/>
        <color theme="1"/>
        <rFont val="Times New Roman"/>
        <charset val="134"/>
      </rPr>
      <t>14</t>
    </r>
  </si>
  <si>
    <t>441624198612314119</t>
  </si>
  <si>
    <t>河源无线代维合计</t>
  </si>
  <si>
    <r>
      <t>员工</t>
    </r>
    <r>
      <rPr>
        <sz val="10"/>
        <color theme="1"/>
        <rFont val="Times New Roman"/>
        <charset val="134"/>
      </rPr>
      <t>15</t>
    </r>
  </si>
  <si>
    <t>441602199206161715</t>
  </si>
  <si>
    <r>
      <t>员工</t>
    </r>
    <r>
      <rPr>
        <sz val="10"/>
        <color theme="1"/>
        <rFont val="Times New Roman"/>
        <charset val="134"/>
      </rPr>
      <t>16</t>
    </r>
  </si>
  <si>
    <t>441622198706050633</t>
  </si>
  <si>
    <r>
      <t>员工</t>
    </r>
    <r>
      <rPr>
        <sz val="10"/>
        <color theme="1"/>
        <rFont val="Times New Roman"/>
        <charset val="134"/>
      </rPr>
      <t>17</t>
    </r>
  </si>
  <si>
    <t>44162219870415667x</t>
  </si>
  <si>
    <r>
      <t>员工</t>
    </r>
    <r>
      <rPr>
        <sz val="10"/>
        <color theme="1"/>
        <rFont val="Times New Roman"/>
        <charset val="134"/>
      </rPr>
      <t>18</t>
    </r>
  </si>
  <si>
    <t>441622197608060796</t>
  </si>
  <si>
    <r>
      <t>员工</t>
    </r>
    <r>
      <rPr>
        <sz val="10"/>
        <color theme="1"/>
        <rFont val="Times New Roman"/>
        <charset val="134"/>
      </rPr>
      <t>19</t>
    </r>
  </si>
  <si>
    <t>441624197210285533</t>
  </si>
  <si>
    <r>
      <t>员工</t>
    </r>
    <r>
      <rPr>
        <sz val="10"/>
        <color theme="1"/>
        <rFont val="Times New Roman"/>
        <charset val="134"/>
      </rPr>
      <t>20</t>
    </r>
  </si>
  <si>
    <t>441621198611115936</t>
  </si>
  <si>
    <r>
      <t>员工</t>
    </r>
    <r>
      <rPr>
        <sz val="10"/>
        <color theme="1"/>
        <rFont val="Times New Roman"/>
        <charset val="134"/>
      </rPr>
      <t>21</t>
    </r>
  </si>
  <si>
    <t>441622198509126475</t>
  </si>
  <si>
    <r>
      <t>员工</t>
    </r>
    <r>
      <rPr>
        <sz val="10"/>
        <color theme="1"/>
        <rFont val="Times New Roman"/>
        <charset val="134"/>
      </rPr>
      <t>22</t>
    </r>
  </si>
  <si>
    <t>441624199111174458</t>
  </si>
  <si>
    <r>
      <t>员工</t>
    </r>
    <r>
      <rPr>
        <sz val="10"/>
        <color theme="1"/>
        <rFont val="Times New Roman"/>
        <charset val="134"/>
      </rPr>
      <t>23</t>
    </r>
  </si>
  <si>
    <t>441623198102071712</t>
  </si>
  <si>
    <t>河源传输代维合计</t>
  </si>
  <si>
    <t>广东分公司（河源项目部）总计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</si>
</sst>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9"/>
      <color theme="1"/>
      <name val="Times New Roman"/>
      <charset val="134"/>
    </font>
    <font>
      <b/>
      <sz val="20"/>
      <color theme="1"/>
      <name val="宋体"/>
      <charset val="134"/>
    </font>
    <font>
      <b/>
      <sz val="20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b/>
      <sz val="10"/>
      <color theme="1"/>
      <name val="宋体"/>
      <charset val="134"/>
    </font>
    <font>
      <b/>
      <sz val="9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0"/>
      <name val="Arial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NumberFormat="1" applyFont="1" applyAlignment="1">
      <alignment horizontal="center" vertical="center"/>
    </xf>
    <xf numFmtId="57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3" fontId="11" fillId="0" borderId="1" xfId="0" applyNumberFormat="1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0" applyNumberFormat="1" applyFont="1" applyBorder="1">
      <alignment vertical="center"/>
    </xf>
    <xf numFmtId="43" fontId="2" fillId="0" borderId="1" xfId="0" applyNumberFormat="1" applyFont="1" applyFill="1" applyBorder="1">
      <alignment vertical="center"/>
    </xf>
    <xf numFmtId="43" fontId="2" fillId="0" borderId="1" xfId="0" applyNumberFormat="1" applyFont="1" applyFill="1" applyBorder="1" applyAlignment="1">
      <alignment vertical="center"/>
    </xf>
    <xf numFmtId="43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0" fontId="2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3" fillId="0" borderId="1" xfId="50" applyNumberFormat="1" applyFont="1" applyFill="1" applyBorder="1" applyAlignment="1">
      <alignment horizontal="center" vertical="center" wrapText="1" shrinkToFit="1"/>
    </xf>
    <xf numFmtId="0" fontId="2" fillId="0" borderId="5" xfId="0" applyFont="1" applyBorder="1">
      <alignment vertical="center"/>
    </xf>
    <xf numFmtId="43" fontId="1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1" fillId="0" borderId="0" xfId="0" applyFont="1" applyAlignment="1">
      <alignment horizontal="center" vertical="center"/>
    </xf>
    <xf numFmtId="43" fontId="13" fillId="0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3" borderId="7" xfId="0" applyNumberFormat="1" applyFont="1" applyFill="1" applyBorder="1" applyAlignment="1">
      <alignment horizontal="center" vertical="center" wrapText="1"/>
    </xf>
    <xf numFmtId="43" fontId="1" fillId="3" borderId="5" xfId="0" applyNumberFormat="1" applyFont="1" applyFill="1" applyBorder="1" applyAlignment="1">
      <alignment horizontal="center" vertical="center" wrapText="1"/>
    </xf>
    <xf numFmtId="43" fontId="6" fillId="3" borderId="6" xfId="0" applyNumberFormat="1" applyFont="1" applyFill="1" applyBorder="1" applyAlignment="1">
      <alignment horizontal="center" vertical="center" wrapText="1"/>
    </xf>
    <xf numFmtId="43" fontId="1" fillId="4" borderId="1" xfId="0" applyNumberFormat="1" applyFont="1" applyFill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9" fillId="4" borderId="7" xfId="0" applyNumberFormat="1" applyFont="1" applyFill="1" applyBorder="1" applyAlignment="1">
      <alignment horizontal="center" vertical="center" wrapText="1"/>
    </xf>
    <xf numFmtId="43" fontId="1" fillId="4" borderId="5" xfId="0" applyNumberFormat="1" applyFont="1" applyFill="1" applyBorder="1" applyAlignment="1">
      <alignment horizontal="center" vertical="center" wrapText="1"/>
    </xf>
    <xf numFmtId="43" fontId="6" fillId="4" borderId="6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43" fontId="1" fillId="4" borderId="1" xfId="0" applyNumberFormat="1" applyFont="1" applyFill="1" applyBorder="1" applyAlignment="1">
      <alignment horizontal="center" vertical="center" wrapText="1"/>
    </xf>
    <xf numFmtId="43" fontId="6" fillId="4" borderId="1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 vertical="center"/>
    </xf>
    <xf numFmtId="43" fontId="2" fillId="0" borderId="13" xfId="0" applyNumberFormat="1" applyFont="1" applyBorder="1" applyAlignment="1">
      <alignment horizontal="center" vertical="center"/>
    </xf>
    <xf numFmtId="43" fontId="3" fillId="0" borderId="13" xfId="0" applyNumberFormat="1" applyFont="1" applyBorder="1" applyAlignment="1">
      <alignment horizontal="center" vertical="center"/>
    </xf>
    <xf numFmtId="43" fontId="2" fillId="0" borderId="13" xfId="0" applyNumberFormat="1" applyFont="1" applyBorder="1">
      <alignment vertical="center"/>
    </xf>
    <xf numFmtId="43" fontId="2" fillId="0" borderId="13" xfId="0" applyNumberFormat="1" applyFont="1" applyFill="1" applyBorder="1">
      <alignment vertical="center"/>
    </xf>
    <xf numFmtId="43" fontId="2" fillId="0" borderId="13" xfId="0" applyNumberFormat="1" applyFont="1" applyBorder="1" applyAlignment="1">
      <alignment horizontal="right" vertical="center"/>
    </xf>
    <xf numFmtId="0" fontId="2" fillId="0" borderId="13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43" fontId="2" fillId="0" borderId="0" xfId="0" applyNumberFormat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43" fontId="2" fillId="0" borderId="0" xfId="0" applyNumberFormat="1" applyFont="1" applyBorder="1">
      <alignment vertical="center"/>
    </xf>
    <xf numFmtId="43" fontId="2" fillId="0" borderId="0" xfId="0" applyNumberFormat="1" applyFont="1" applyFill="1" applyBorder="1">
      <alignment vertical="center"/>
    </xf>
    <xf numFmtId="43" fontId="2" fillId="0" borderId="0" xfId="0" applyNumberFormat="1" applyFont="1" applyBorder="1" applyAlignment="1">
      <alignment horizontal="right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57" fontId="7" fillId="0" borderId="0" xfId="0" applyNumberFormat="1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left" vertical="center"/>
    </xf>
    <xf numFmtId="43" fontId="2" fillId="0" borderId="1" xfId="0" applyNumberFormat="1" applyFont="1" applyBorder="1" applyAlignment="1">
      <alignment horizontal="center" vertical="center"/>
    </xf>
    <xf numFmtId="0" fontId="1" fillId="0" borderId="1" xfId="3" applyNumberFormat="1" applyFont="1" applyBorder="1" applyAlignment="1">
      <alignment horizontal="center" vertical="center"/>
    </xf>
    <xf numFmtId="43" fontId="1" fillId="0" borderId="1" xfId="3" applyNumberFormat="1" applyFont="1" applyBorder="1" applyAlignment="1">
      <alignment horizontal="left" vertical="center"/>
    </xf>
    <xf numFmtId="43" fontId="1" fillId="0" borderId="1" xfId="3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0" fontId="2" fillId="0" borderId="1" xfId="0" applyFont="1" applyBorder="1" applyAlignment="1" quotePrefix="1">
      <alignment horizontal="center" vertical="center"/>
    </xf>
    <xf numFmtId="0" fontId="2" fillId="0" borderId="6" xfId="0" applyFont="1" applyBorder="1" applyAlignment="1" quotePrefix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2" xfId="49"/>
    <cellStyle name="常规_临沧项目_1" xfId="50"/>
    <cellStyle name="常规 2" xfId="51"/>
    <cellStyle name="常规 8" xf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V14"/>
  <sheetViews>
    <sheetView workbookViewId="0">
      <selection activeCell="F18" sqref="F18"/>
    </sheetView>
  </sheetViews>
  <sheetFormatPr defaultColWidth="9" defaultRowHeight="13.2"/>
  <cols>
    <col min="1" max="1" width="16.2222222222222" style="92" customWidth="1"/>
    <col min="2" max="2" width="5.37962962962963" style="6" customWidth="1"/>
    <col min="3" max="3" width="10.25" style="93" customWidth="1"/>
    <col min="4" max="4" width="11.1481481481481" style="93" customWidth="1"/>
    <col min="5" max="5" width="6.33333333333333" style="93" customWidth="1"/>
    <col min="6" max="6" width="8.11111111111111" style="93" customWidth="1"/>
    <col min="7" max="12" width="6.77777777777778" style="6" customWidth="1"/>
    <col min="13" max="20" width="6.77777777777778" style="4" customWidth="1"/>
    <col min="21" max="21" width="10.6481481481481" style="4" customWidth="1"/>
    <col min="22" max="22" width="9.37962962962963" style="4"/>
    <col min="23" max="16384" width="9" style="4"/>
  </cols>
  <sheetData>
    <row r="1" ht="15" customHeight="1" spans="1:22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1"/>
    </row>
    <row r="2" ht="15" customHeight="1" spans="1:22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1"/>
    </row>
    <row r="3" ht="15" customHeight="1" spans="1:22">
      <c r="A3" s="95">
        <v>46113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1"/>
    </row>
    <row r="4" spans="1:22">
      <c r="A4" s="19" t="s">
        <v>1</v>
      </c>
      <c r="B4" s="19" t="s">
        <v>2</v>
      </c>
      <c r="C4" s="19" t="s">
        <v>3</v>
      </c>
      <c r="D4" s="19" t="s">
        <v>4</v>
      </c>
      <c r="E4" s="34" t="s">
        <v>5</v>
      </c>
      <c r="F4" s="19" t="s">
        <v>6</v>
      </c>
      <c r="G4" s="96" t="s">
        <v>7</v>
      </c>
      <c r="H4" s="97"/>
      <c r="I4" s="97"/>
      <c r="J4" s="97"/>
      <c r="K4" s="97"/>
      <c r="L4" s="98"/>
      <c r="M4" s="22" t="s">
        <v>8</v>
      </c>
      <c r="N4" s="22"/>
      <c r="O4" s="23"/>
      <c r="P4" s="23"/>
      <c r="Q4" s="23"/>
      <c r="R4" s="23"/>
      <c r="S4" s="23"/>
      <c r="T4" s="23"/>
      <c r="U4" s="32" t="s">
        <v>9</v>
      </c>
      <c r="V4" s="1"/>
    </row>
    <row r="5" spans="1:22">
      <c r="A5" s="99"/>
      <c r="B5" s="99"/>
      <c r="C5" s="99"/>
      <c r="D5" s="99"/>
      <c r="E5" s="100"/>
      <c r="F5" s="99"/>
      <c r="G5" s="22" t="s">
        <v>10</v>
      </c>
      <c r="H5" s="32" t="s">
        <v>11</v>
      </c>
      <c r="I5" s="22" t="s">
        <v>12</v>
      </c>
      <c r="J5" s="22" t="s">
        <v>13</v>
      </c>
      <c r="K5" s="22" t="s">
        <v>14</v>
      </c>
      <c r="L5" s="22" t="s">
        <v>15</v>
      </c>
      <c r="M5" s="22" t="s">
        <v>10</v>
      </c>
      <c r="N5" s="32" t="s">
        <v>11</v>
      </c>
      <c r="O5" s="22" t="s">
        <v>12</v>
      </c>
      <c r="P5" s="22" t="s">
        <v>14</v>
      </c>
      <c r="Q5" s="22" t="s">
        <v>16</v>
      </c>
      <c r="R5" s="22" t="s">
        <v>17</v>
      </c>
      <c r="S5" s="22" t="s">
        <v>13</v>
      </c>
      <c r="T5" s="22" t="s">
        <v>18</v>
      </c>
      <c r="U5" s="36"/>
      <c r="V5" s="1"/>
    </row>
    <row r="6" ht="39" customHeight="1" spans="1:22">
      <c r="A6" s="19" t="s">
        <v>19</v>
      </c>
      <c r="B6" s="40">
        <v>14</v>
      </c>
      <c r="C6" s="101">
        <f>明细表!P20</f>
        <v>7000</v>
      </c>
      <c r="D6" s="101">
        <f>明细表!U20</f>
        <v>7000</v>
      </c>
      <c r="E6" s="101"/>
      <c r="F6" s="101"/>
      <c r="G6" s="102"/>
      <c r="H6" s="102"/>
      <c r="I6" s="102"/>
      <c r="J6" s="102"/>
      <c r="K6" s="102"/>
      <c r="L6" s="102"/>
      <c r="M6" s="41"/>
      <c r="N6" s="41"/>
      <c r="O6" s="41"/>
      <c r="P6" s="41"/>
      <c r="Q6" s="41"/>
      <c r="R6" s="41"/>
      <c r="S6" s="41"/>
      <c r="T6" s="41"/>
      <c r="U6" s="41">
        <f>SUM(D6:T6)</f>
        <v>7000</v>
      </c>
    </row>
    <row r="7" ht="36" spans="1:22">
      <c r="A7" s="19" t="s">
        <v>20</v>
      </c>
      <c r="B7" s="40">
        <v>9</v>
      </c>
      <c r="C7" s="101">
        <f>明细表!P30</f>
        <v>4500</v>
      </c>
      <c r="D7" s="101">
        <f>明细表!P30</f>
        <v>4500</v>
      </c>
      <c r="E7" s="101"/>
      <c r="F7" s="101"/>
      <c r="G7" s="102"/>
      <c r="H7" s="102"/>
      <c r="I7" s="102"/>
      <c r="J7" s="102"/>
      <c r="K7" s="102"/>
      <c r="L7" s="102"/>
      <c r="M7" s="41"/>
      <c r="N7" s="41"/>
      <c r="O7" s="41"/>
      <c r="P7" s="41"/>
      <c r="Q7" s="41"/>
      <c r="R7" s="41"/>
      <c r="S7" s="41"/>
      <c r="T7" s="41"/>
      <c r="U7" s="41">
        <f>SUM(D7:T7)</f>
        <v>4500</v>
      </c>
    </row>
    <row r="8" s="1" customFormat="1" ht="26.1" customHeight="1" spans="1:22">
      <c r="A8" s="19" t="s">
        <v>9</v>
      </c>
      <c r="B8" s="103">
        <f>SUM(B6:B7)</f>
        <v>23</v>
      </c>
      <c r="C8" s="104">
        <f t="shared" ref="B8:U8" si="0">SUM(C6:C7)</f>
        <v>11500</v>
      </c>
      <c r="D8" s="104">
        <f t="shared" si="0"/>
        <v>11500</v>
      </c>
      <c r="E8" s="104">
        <f t="shared" si="0"/>
        <v>0</v>
      </c>
      <c r="F8" s="104">
        <f t="shared" si="0"/>
        <v>0</v>
      </c>
      <c r="G8" s="105">
        <f t="shared" si="0"/>
        <v>0</v>
      </c>
      <c r="H8" s="105">
        <f t="shared" si="0"/>
        <v>0</v>
      </c>
      <c r="I8" s="104">
        <f t="shared" si="0"/>
        <v>0</v>
      </c>
      <c r="J8" s="104">
        <f t="shared" si="0"/>
        <v>0</v>
      </c>
      <c r="K8" s="104">
        <f t="shared" si="0"/>
        <v>0</v>
      </c>
      <c r="L8" s="104">
        <f t="shared" si="0"/>
        <v>0</v>
      </c>
      <c r="M8" s="104">
        <f t="shared" si="0"/>
        <v>0</v>
      </c>
      <c r="N8" s="104">
        <f t="shared" si="0"/>
        <v>0</v>
      </c>
      <c r="O8" s="104">
        <f t="shared" si="0"/>
        <v>0</v>
      </c>
      <c r="P8" s="104">
        <f t="shared" si="0"/>
        <v>0</v>
      </c>
      <c r="Q8" s="104">
        <f t="shared" si="0"/>
        <v>0</v>
      </c>
      <c r="R8" s="104">
        <f t="shared" si="0"/>
        <v>0</v>
      </c>
      <c r="S8" s="104">
        <f t="shared" si="0"/>
        <v>0</v>
      </c>
      <c r="T8" s="104">
        <f t="shared" si="0"/>
        <v>0</v>
      </c>
      <c r="U8" s="104">
        <f t="shared" si="0"/>
        <v>11500</v>
      </c>
    </row>
    <row r="9" ht="38" customHeight="1" spans="1:22">
      <c r="A9" s="106" t="s">
        <v>21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7"/>
    </row>
    <row r="13" spans="1:22">
      <c r="C13" s="6"/>
      <c r="D13" s="6"/>
      <c r="E13" s="6"/>
      <c r="F13" s="6"/>
      <c r="M13" s="6"/>
      <c r="N13" s="6"/>
      <c r="O13" s="6"/>
      <c r="P13" s="6"/>
      <c r="Q13" s="6"/>
      <c r="R13" s="6"/>
      <c r="S13" s="6"/>
      <c r="T13" s="6"/>
      <c r="U13" s="6"/>
    </row>
    <row r="14" spans="1:22">
      <c r="C14" s="6"/>
      <c r="D14" s="6"/>
      <c r="E14" s="6"/>
      <c r="F14" s="6"/>
      <c r="M14" s="6"/>
      <c r="N14" s="6"/>
      <c r="O14" s="6"/>
      <c r="P14" s="6"/>
      <c r="Q14" s="6"/>
      <c r="R14" s="6"/>
      <c r="S14" s="6"/>
      <c r="T14" s="6"/>
      <c r="U14" s="6"/>
    </row>
  </sheetData>
  <mergeCells count="12">
    <mergeCell ref="A3:U3"/>
    <mergeCell ref="G4:L4"/>
    <mergeCell ref="M4:T4"/>
    <mergeCell ref="A9:U9"/>
    <mergeCell ref="A4:A5"/>
    <mergeCell ref="B4:B5"/>
    <mergeCell ref="C4:C5"/>
    <mergeCell ref="D4:D5"/>
    <mergeCell ref="E4:E5"/>
    <mergeCell ref="F4:F5"/>
    <mergeCell ref="U4:U5"/>
    <mergeCell ref="A1:U2"/>
  </mergeCells>
  <printOptions horizontalCentered="1"/>
  <pageMargins left="0.196527777777778" right="0.118055555555556" top="0.393055555555556" bottom="0.393055555555556" header="0.275" footer="0.275"/>
  <pageSetup paperSize="9" scale="8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AY270"/>
  <sheetViews>
    <sheetView tabSelected="1" workbookViewId="0">
      <pane xSplit="4" ySplit="5" topLeftCell="E22" activePane="bottomRight" state="frozen"/>
      <selection/>
      <selection pane="topRight"/>
      <selection pane="bottomLeft"/>
      <selection pane="bottomRight" activeCell="H29" sqref="H29"/>
    </sheetView>
  </sheetViews>
  <sheetFormatPr defaultColWidth="9" defaultRowHeight="13.2"/>
  <cols>
    <col min="1" max="1" width="3.37962962962963" style="5" customWidth="1"/>
    <col min="2" max="2" width="7.75" style="6" customWidth="1"/>
    <col min="3" max="3" width="7.55555555555556" style="7" customWidth="1"/>
    <col min="4" max="4" width="19.7777777777778" style="7" customWidth="1"/>
    <col min="5" max="11" width="7.77777777777778" style="4" customWidth="1"/>
    <col min="12" max="12" width="10.5" style="4" customWidth="1"/>
    <col min="13" max="13" width="9.11111111111111" style="4" customWidth="1"/>
    <col min="14" max="14" width="7.44444444444444" style="4" customWidth="1"/>
    <col min="15" max="15" width="8.22222222222222" style="4" customWidth="1"/>
    <col min="16" max="16" width="11" style="4" customWidth="1"/>
    <col min="17" max="17" width="9.55555555555556" style="4" customWidth="1"/>
    <col min="18" max="18" width="7.88888888888889" style="4" customWidth="1"/>
    <col min="19" max="19" width="7.5462962962963" style="4" customWidth="1"/>
    <col min="20" max="20" width="7.44444444444444" style="4" customWidth="1"/>
    <col min="21" max="21" width="11.1481481481481" style="3" customWidth="1"/>
    <col min="22" max="22" width="7.88888888888889" style="4" customWidth="1"/>
    <col min="23" max="23" width="11" style="4" customWidth="1"/>
    <col min="24" max="26" width="9.64814814814815" style="4" customWidth="1"/>
    <col min="27" max="27" width="9.44444444444444" style="8"/>
    <col min="28" max="31" width="9" style="4"/>
    <col min="32" max="32" width="10.3796296296296" style="4" customWidth="1"/>
    <col min="33" max="35" width="10.5" style="4" customWidth="1"/>
    <col min="36" max="39" width="9.44444444444444" style="4"/>
    <col min="40" max="40" width="9" style="4"/>
    <col min="41" max="41" width="9.44444444444444" style="4"/>
    <col min="42" max="42" width="9" style="4"/>
    <col min="43" max="43" width="9.87962962962963" style="4" customWidth="1"/>
    <col min="44" max="44" width="9" style="4"/>
    <col min="45" max="45" width="45.8796296296296" style="4" customWidth="1"/>
    <col min="46" max="46" width="13.6481481481481" style="4" customWidth="1"/>
    <col min="47" max="47" width="8.5" style="4" customWidth="1"/>
    <col min="48" max="49" width="10.4444444444444" style="4" customWidth="1"/>
    <col min="50" max="50" width="11.8796296296296" style="6" customWidth="1"/>
    <col min="51" max="51" width="10.3796296296296" style="4" customWidth="1"/>
    <col min="52" max="16384" width="9" style="4"/>
  </cols>
  <sheetData>
    <row r="1" s="1" customFormat="1" ht="24" customHeight="1" spans="1:51">
      <c r="A1" s="9" t="s">
        <v>22</v>
      </c>
      <c r="B1" s="10"/>
      <c r="C1" s="11"/>
      <c r="D1" s="1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2"/>
      <c r="V1" s="10"/>
      <c r="W1" s="10"/>
      <c r="AA1" s="13"/>
      <c r="AX1" s="2"/>
    </row>
    <row r="2" s="1" customFormat="1" ht="24" customHeight="1" spans="1:51">
      <c r="A2" s="14"/>
      <c r="B2" s="10"/>
      <c r="C2" s="11"/>
      <c r="D2" s="11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2"/>
      <c r="V2" s="10"/>
      <c r="W2" s="10"/>
      <c r="AA2" s="13"/>
      <c r="AX2" s="2"/>
    </row>
    <row r="3" s="1" customFormat="1" ht="15.6" spans="1:51">
      <c r="A3" s="15">
        <v>46113</v>
      </c>
      <c r="B3" s="16"/>
      <c r="C3" s="11"/>
      <c r="D3" s="11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7"/>
      <c r="V3" s="16"/>
      <c r="W3" s="16"/>
      <c r="AA3" s="13"/>
      <c r="AX3" s="2"/>
    </row>
    <row r="4" s="2" customFormat="1" spans="1:51">
      <c r="A4" s="18" t="s">
        <v>23</v>
      </c>
      <c r="B4" s="19" t="s">
        <v>24</v>
      </c>
      <c r="C4" s="20" t="s">
        <v>25</v>
      </c>
      <c r="D4" s="21" t="s">
        <v>26</v>
      </c>
      <c r="E4" s="19" t="s">
        <v>27</v>
      </c>
      <c r="F4" s="19" t="s">
        <v>28</v>
      </c>
      <c r="G4" s="19" t="s">
        <v>29</v>
      </c>
      <c r="H4" s="19" t="s">
        <v>30</v>
      </c>
      <c r="I4" s="19" t="s">
        <v>31</v>
      </c>
      <c r="J4" s="19" t="s">
        <v>32</v>
      </c>
      <c r="K4" s="19" t="s">
        <v>33</v>
      </c>
      <c r="L4" s="19" t="s">
        <v>34</v>
      </c>
      <c r="M4" s="22" t="s">
        <v>35</v>
      </c>
      <c r="N4" s="23"/>
      <c r="O4" s="23"/>
      <c r="P4" s="24" t="s">
        <v>36</v>
      </c>
      <c r="Q4" s="22" t="s">
        <v>35</v>
      </c>
      <c r="R4" s="23"/>
      <c r="S4" s="23"/>
      <c r="T4" s="22" t="s">
        <v>37</v>
      </c>
      <c r="U4" s="24" t="s">
        <v>38</v>
      </c>
      <c r="V4" s="19" t="s">
        <v>39</v>
      </c>
      <c r="W4" s="19" t="s">
        <v>40</v>
      </c>
      <c r="X4" s="22" t="s">
        <v>41</v>
      </c>
      <c r="Y4" s="22"/>
      <c r="Z4" s="22"/>
      <c r="AA4" s="25"/>
      <c r="AB4" s="23"/>
      <c r="AC4" s="23"/>
      <c r="AD4" s="23"/>
      <c r="AE4" s="23"/>
      <c r="AF4" s="23"/>
      <c r="AG4" s="22" t="s">
        <v>42</v>
      </c>
      <c r="AH4" s="22"/>
      <c r="AI4" s="22"/>
      <c r="AJ4" s="23"/>
      <c r="AK4" s="23"/>
      <c r="AL4" s="23"/>
      <c r="AM4" s="23"/>
      <c r="AN4" s="23"/>
      <c r="AO4" s="23"/>
      <c r="AP4" s="23"/>
      <c r="AQ4" s="23"/>
      <c r="AR4" s="23" t="s">
        <v>43</v>
      </c>
      <c r="AS4" s="23" t="s">
        <v>44</v>
      </c>
      <c r="AT4" s="23" t="s">
        <v>45</v>
      </c>
      <c r="AU4" s="26" t="s">
        <v>46</v>
      </c>
      <c r="AV4" s="23" t="s">
        <v>47</v>
      </c>
      <c r="AW4" s="23" t="s">
        <v>48</v>
      </c>
      <c r="AX4" s="27" t="s">
        <v>49</v>
      </c>
      <c r="AY4" s="23" t="s">
        <v>50</v>
      </c>
    </row>
    <row r="5" s="2" customFormat="1" ht="24" spans="1:51">
      <c r="A5" s="28"/>
      <c r="B5" s="29"/>
      <c r="C5" s="30"/>
      <c r="D5" s="31"/>
      <c r="E5" s="29"/>
      <c r="F5" s="29"/>
      <c r="G5" s="29"/>
      <c r="H5" s="29"/>
      <c r="I5" s="29"/>
      <c r="J5" s="29"/>
      <c r="K5" s="29"/>
      <c r="L5" s="29"/>
      <c r="M5" s="32" t="s">
        <v>51</v>
      </c>
      <c r="N5" s="32" t="s">
        <v>52</v>
      </c>
      <c r="O5" s="32" t="s">
        <v>53</v>
      </c>
      <c r="P5" s="33"/>
      <c r="Q5" s="34" t="s">
        <v>54</v>
      </c>
      <c r="R5" s="32" t="s">
        <v>55</v>
      </c>
      <c r="S5" s="32" t="s">
        <v>53</v>
      </c>
      <c r="T5" s="27"/>
      <c r="U5" s="33"/>
      <c r="V5" s="29"/>
      <c r="W5" s="29"/>
      <c r="X5" s="32" t="s">
        <v>10</v>
      </c>
      <c r="Y5" s="32" t="s">
        <v>11</v>
      </c>
      <c r="Z5" s="32" t="s">
        <v>56</v>
      </c>
      <c r="AA5" s="35" t="s">
        <v>12</v>
      </c>
      <c r="AB5" s="32" t="s">
        <v>13</v>
      </c>
      <c r="AC5" s="32" t="s">
        <v>57</v>
      </c>
      <c r="AD5" s="32" t="s">
        <v>14</v>
      </c>
      <c r="AE5" s="32" t="s">
        <v>58</v>
      </c>
      <c r="AF5" s="32" t="s">
        <v>59</v>
      </c>
      <c r="AG5" s="32" t="s">
        <v>10</v>
      </c>
      <c r="AH5" s="32" t="s">
        <v>11</v>
      </c>
      <c r="AI5" s="32" t="s">
        <v>56</v>
      </c>
      <c r="AJ5" s="32" t="s">
        <v>12</v>
      </c>
      <c r="AK5" s="32" t="s">
        <v>60</v>
      </c>
      <c r="AL5" s="32" t="s">
        <v>57</v>
      </c>
      <c r="AM5" s="32" t="s">
        <v>14</v>
      </c>
      <c r="AN5" s="32" t="s">
        <v>16</v>
      </c>
      <c r="AO5" s="32" t="s">
        <v>17</v>
      </c>
      <c r="AP5" s="32" t="s">
        <v>18</v>
      </c>
      <c r="AQ5" s="32" t="s">
        <v>9</v>
      </c>
      <c r="AR5" s="23"/>
      <c r="AS5" s="23"/>
      <c r="AT5" s="23"/>
      <c r="AU5" s="26"/>
      <c r="AV5" s="23"/>
      <c r="AW5" s="23"/>
      <c r="AX5" s="36"/>
      <c r="AY5" s="23"/>
    </row>
    <row r="6" ht="21.95" customHeight="1" spans="1:51">
      <c r="A6" s="37">
        <v>1</v>
      </c>
      <c r="B6" s="38" t="s">
        <v>61</v>
      </c>
      <c r="C6" s="39" t="s">
        <v>62</v>
      </c>
      <c r="D6" s="40" t="s">
        <v>63</v>
      </c>
      <c r="E6" s="41"/>
      <c r="F6" s="41"/>
      <c r="G6" s="41"/>
      <c r="H6" s="41"/>
      <c r="I6" s="41"/>
      <c r="J6" s="41"/>
      <c r="K6" s="41"/>
      <c r="L6" s="42">
        <v>500</v>
      </c>
      <c r="M6" s="41"/>
      <c r="N6" s="41"/>
      <c r="O6" s="41"/>
      <c r="P6" s="41">
        <f t="shared" ref="P6:P19" si="0">ROUND(SUM(E6:L6)-SUM(M6:O6),2)</f>
        <v>500</v>
      </c>
      <c r="Q6" s="41">
        <f t="shared" ref="Q6:Q19" si="1">AF6</f>
        <v>0</v>
      </c>
      <c r="R6" s="43">
        <v>0</v>
      </c>
      <c r="S6" s="42"/>
      <c r="T6" s="41">
        <f t="shared" ref="T6:T17" si="2">ROUND(SUM(Q6:S6),2)</f>
        <v>0</v>
      </c>
      <c r="U6" s="42">
        <f t="shared" ref="U6:U19" si="3">ROUND(P6-T6,2)</f>
        <v>500</v>
      </c>
      <c r="V6" s="41">
        <f t="shared" ref="V6:V17" si="4">AQ6</f>
        <v>0</v>
      </c>
      <c r="W6" s="41">
        <f t="shared" ref="W6:W19" si="5">ROUND(T6+U6+V6,2)</f>
        <v>500</v>
      </c>
      <c r="X6" s="44"/>
      <c r="Y6" s="44">
        <v>0</v>
      </c>
      <c r="Z6" s="44">
        <f>X6+Y6</f>
        <v>0</v>
      </c>
      <c r="AA6" s="45"/>
      <c r="AB6" s="41">
        <v>0</v>
      </c>
      <c r="AC6" s="41">
        <f>AA6+AB6</f>
        <v>0</v>
      </c>
      <c r="AD6" s="44"/>
      <c r="AE6" s="41">
        <v>0</v>
      </c>
      <c r="AF6" s="41">
        <f>Z6+AC6+AD6+AE6</f>
        <v>0</v>
      </c>
      <c r="AG6" s="41"/>
      <c r="AH6" s="41">
        <v>0</v>
      </c>
      <c r="AI6" s="41">
        <f>AG6+AH6</f>
        <v>0</v>
      </c>
      <c r="AJ6" s="44"/>
      <c r="AK6" s="41">
        <v>0</v>
      </c>
      <c r="AL6" s="44">
        <f>AJ6+AK6</f>
        <v>0</v>
      </c>
      <c r="AM6" s="44"/>
      <c r="AN6" s="44"/>
      <c r="AO6" s="44"/>
      <c r="AP6" s="41">
        <v>0</v>
      </c>
      <c r="AQ6" s="41">
        <f>AI6+AL6+AM6+AN6+AO6+AP6</f>
        <v>0</v>
      </c>
      <c r="AR6" s="46"/>
      <c r="AS6" s="47"/>
      <c r="AT6" s="46"/>
      <c r="AU6" s="48" t="s">
        <v>64</v>
      </c>
      <c r="AV6" s="49"/>
      <c r="AW6" s="49"/>
      <c r="AX6" s="40">
        <v>11111111111</v>
      </c>
      <c r="AY6" s="46"/>
    </row>
    <row r="7" ht="21.95" customHeight="1" spans="1:51">
      <c r="A7" s="37">
        <v>2</v>
      </c>
      <c r="B7" s="38" t="s">
        <v>65</v>
      </c>
      <c r="C7" s="39" t="s">
        <v>62</v>
      </c>
      <c r="D7" s="40" t="s">
        <v>66</v>
      </c>
      <c r="E7" s="41"/>
      <c r="F7" s="41"/>
      <c r="G7" s="41"/>
      <c r="H7" s="41"/>
      <c r="I7" s="41"/>
      <c r="J7" s="41"/>
      <c r="K7" s="41"/>
      <c r="L7" s="42">
        <v>500</v>
      </c>
      <c r="M7" s="41"/>
      <c r="N7" s="41"/>
      <c r="O7" s="41"/>
      <c r="P7" s="41">
        <f t="shared" si="0"/>
        <v>500</v>
      </c>
      <c r="Q7" s="41">
        <f t="shared" si="1"/>
        <v>0</v>
      </c>
      <c r="R7" s="43">
        <v>0</v>
      </c>
      <c r="S7" s="42"/>
      <c r="T7" s="41">
        <f t="shared" si="2"/>
        <v>0</v>
      </c>
      <c r="U7" s="42">
        <f t="shared" si="3"/>
        <v>500</v>
      </c>
      <c r="V7" s="41">
        <f t="shared" si="4"/>
        <v>0</v>
      </c>
      <c r="W7" s="41">
        <f t="shared" si="5"/>
        <v>500</v>
      </c>
      <c r="X7" s="44"/>
      <c r="Y7" s="44">
        <v>0</v>
      </c>
      <c r="Z7" s="44">
        <f t="shared" ref="Z7:Z19" si="6">X7+Y7</f>
        <v>0</v>
      </c>
      <c r="AA7" s="45"/>
      <c r="AB7" s="41">
        <v>0</v>
      </c>
      <c r="AC7" s="41">
        <f t="shared" ref="AC7:AC19" si="7">AA7+AB7</f>
        <v>0</v>
      </c>
      <c r="AD7" s="44"/>
      <c r="AE7" s="41">
        <v>0</v>
      </c>
      <c r="AF7" s="41">
        <f t="shared" ref="AF7:AF19" si="8">Z7+AC7+AD7+AE7</f>
        <v>0</v>
      </c>
      <c r="AG7" s="41"/>
      <c r="AH7" s="41">
        <v>0</v>
      </c>
      <c r="AI7" s="41">
        <f t="shared" ref="AI7:AI19" si="9">AG7+AH7</f>
        <v>0</v>
      </c>
      <c r="AJ7" s="44"/>
      <c r="AK7" s="41">
        <v>0</v>
      </c>
      <c r="AL7" s="44">
        <f t="shared" ref="AL7:AL19" si="10">AJ7+AK7</f>
        <v>0</v>
      </c>
      <c r="AM7" s="44"/>
      <c r="AN7" s="44"/>
      <c r="AO7" s="44"/>
      <c r="AP7" s="41">
        <v>0</v>
      </c>
      <c r="AQ7" s="41">
        <f t="shared" ref="AQ7:AQ19" si="11">AI7+AL7+AM7+AN7+AO7+AP7</f>
        <v>0</v>
      </c>
      <c r="AR7" s="46"/>
      <c r="AS7" s="47"/>
      <c r="AT7" s="46"/>
      <c r="AU7" s="48" t="s">
        <v>64</v>
      </c>
      <c r="AV7" s="46"/>
      <c r="AW7" s="46"/>
      <c r="AX7" s="40">
        <v>11111111111</v>
      </c>
      <c r="AY7" s="46"/>
    </row>
    <row r="8" s="3" customFormat="1" ht="21.95" customHeight="1" spans="1:51">
      <c r="A8" s="37">
        <v>3</v>
      </c>
      <c r="B8" s="38" t="s">
        <v>67</v>
      </c>
      <c r="C8" s="50" t="s">
        <v>62</v>
      </c>
      <c r="D8" s="51" t="s">
        <v>68</v>
      </c>
      <c r="E8" s="42"/>
      <c r="F8" s="42"/>
      <c r="G8" s="42"/>
      <c r="H8" s="42"/>
      <c r="I8" s="42"/>
      <c r="J8" s="42"/>
      <c r="K8" s="42"/>
      <c r="L8" s="42">
        <v>500</v>
      </c>
      <c r="M8" s="42"/>
      <c r="N8" s="42"/>
      <c r="O8" s="41"/>
      <c r="P8" s="41">
        <f t="shared" si="0"/>
        <v>500</v>
      </c>
      <c r="Q8" s="41">
        <f t="shared" si="1"/>
        <v>0</v>
      </c>
      <c r="R8" s="43">
        <v>0</v>
      </c>
      <c r="S8" s="42"/>
      <c r="T8" s="41">
        <f t="shared" si="2"/>
        <v>0</v>
      </c>
      <c r="U8" s="42">
        <f t="shared" si="3"/>
        <v>500</v>
      </c>
      <c r="V8" s="41">
        <f t="shared" si="4"/>
        <v>0</v>
      </c>
      <c r="W8" s="41">
        <f t="shared" si="5"/>
        <v>500</v>
      </c>
      <c r="X8" s="44"/>
      <c r="Y8" s="44">
        <v>0</v>
      </c>
      <c r="Z8" s="44">
        <f t="shared" si="6"/>
        <v>0</v>
      </c>
      <c r="AA8" s="45"/>
      <c r="AB8" s="41">
        <v>0</v>
      </c>
      <c r="AC8" s="41">
        <f t="shared" si="7"/>
        <v>0</v>
      </c>
      <c r="AD8" s="44"/>
      <c r="AE8" s="41">
        <v>0</v>
      </c>
      <c r="AF8" s="41">
        <f t="shared" si="8"/>
        <v>0</v>
      </c>
      <c r="AG8" s="41"/>
      <c r="AH8" s="41">
        <v>0</v>
      </c>
      <c r="AI8" s="41">
        <f t="shared" si="9"/>
        <v>0</v>
      </c>
      <c r="AJ8" s="44"/>
      <c r="AK8" s="41">
        <v>0</v>
      </c>
      <c r="AL8" s="44">
        <f t="shared" si="10"/>
        <v>0</v>
      </c>
      <c r="AM8" s="44"/>
      <c r="AN8" s="44"/>
      <c r="AO8" s="44"/>
      <c r="AP8" s="41">
        <v>0</v>
      </c>
      <c r="AQ8" s="41">
        <f t="shared" si="11"/>
        <v>0</v>
      </c>
      <c r="AR8" s="52"/>
      <c r="AS8" s="47"/>
      <c r="AT8" s="53"/>
      <c r="AU8" s="54" t="s">
        <v>69</v>
      </c>
      <c r="AV8" s="52"/>
      <c r="AW8" s="52"/>
      <c r="AX8" s="40">
        <v>11111111111</v>
      </c>
      <c r="AY8" s="52"/>
    </row>
    <row r="9" ht="21.95" customHeight="1" spans="1:51">
      <c r="A9" s="37">
        <v>4</v>
      </c>
      <c r="B9" s="38" t="s">
        <v>70</v>
      </c>
      <c r="C9" s="39" t="s">
        <v>62</v>
      </c>
      <c r="D9" s="40" t="s">
        <v>71</v>
      </c>
      <c r="E9" s="41"/>
      <c r="F9" s="41"/>
      <c r="G9" s="41"/>
      <c r="H9" s="41"/>
      <c r="I9" s="41"/>
      <c r="J9" s="41"/>
      <c r="K9" s="41"/>
      <c r="L9" s="42">
        <v>500</v>
      </c>
      <c r="M9" s="41"/>
      <c r="N9" s="41"/>
      <c r="O9" s="41"/>
      <c r="P9" s="41">
        <f t="shared" si="0"/>
        <v>500</v>
      </c>
      <c r="Q9" s="41">
        <f t="shared" si="1"/>
        <v>0</v>
      </c>
      <c r="R9" s="43">
        <v>0</v>
      </c>
      <c r="S9" s="42"/>
      <c r="T9" s="41">
        <f t="shared" si="2"/>
        <v>0</v>
      </c>
      <c r="U9" s="42">
        <f t="shared" si="3"/>
        <v>500</v>
      </c>
      <c r="V9" s="41">
        <f t="shared" si="4"/>
        <v>0</v>
      </c>
      <c r="W9" s="41">
        <f t="shared" si="5"/>
        <v>500</v>
      </c>
      <c r="X9" s="44"/>
      <c r="Y9" s="44">
        <v>0</v>
      </c>
      <c r="Z9" s="44">
        <f t="shared" si="6"/>
        <v>0</v>
      </c>
      <c r="AA9" s="45"/>
      <c r="AB9" s="41">
        <v>0</v>
      </c>
      <c r="AC9" s="41">
        <f t="shared" si="7"/>
        <v>0</v>
      </c>
      <c r="AD9" s="44"/>
      <c r="AE9" s="41">
        <v>0</v>
      </c>
      <c r="AF9" s="41">
        <f t="shared" si="8"/>
        <v>0</v>
      </c>
      <c r="AG9" s="41"/>
      <c r="AH9" s="41">
        <v>0</v>
      </c>
      <c r="AI9" s="41">
        <f t="shared" si="9"/>
        <v>0</v>
      </c>
      <c r="AJ9" s="44"/>
      <c r="AK9" s="41">
        <v>0</v>
      </c>
      <c r="AL9" s="44">
        <f t="shared" si="10"/>
        <v>0</v>
      </c>
      <c r="AM9" s="44"/>
      <c r="AN9" s="44"/>
      <c r="AO9" s="44"/>
      <c r="AP9" s="41">
        <v>0</v>
      </c>
      <c r="AQ9" s="41">
        <f t="shared" si="11"/>
        <v>0</v>
      </c>
      <c r="AR9" s="46"/>
      <c r="AS9" s="47"/>
      <c r="AT9" s="46"/>
      <c r="AU9" s="48" t="s">
        <v>64</v>
      </c>
      <c r="AV9" s="46"/>
      <c r="AW9" s="46"/>
      <c r="AX9" s="40">
        <v>11111111111</v>
      </c>
      <c r="AY9" s="46"/>
    </row>
    <row r="10" ht="21.95" customHeight="1" spans="1:51">
      <c r="A10" s="37">
        <v>5</v>
      </c>
      <c r="B10" s="38" t="s">
        <v>72</v>
      </c>
      <c r="C10" s="39" t="s">
        <v>62</v>
      </c>
      <c r="D10" s="40" t="s">
        <v>73</v>
      </c>
      <c r="E10" s="41"/>
      <c r="F10" s="41"/>
      <c r="G10" s="41"/>
      <c r="H10" s="41"/>
      <c r="I10" s="41"/>
      <c r="J10" s="41"/>
      <c r="K10" s="41"/>
      <c r="L10" s="42">
        <v>500</v>
      </c>
      <c r="M10" s="41"/>
      <c r="N10" s="41"/>
      <c r="O10" s="41"/>
      <c r="P10" s="41">
        <f t="shared" si="0"/>
        <v>500</v>
      </c>
      <c r="Q10" s="41">
        <f t="shared" si="1"/>
        <v>0</v>
      </c>
      <c r="R10" s="43">
        <v>0</v>
      </c>
      <c r="S10" s="42"/>
      <c r="T10" s="41">
        <f t="shared" si="2"/>
        <v>0</v>
      </c>
      <c r="U10" s="42">
        <f t="shared" si="3"/>
        <v>500</v>
      </c>
      <c r="V10" s="41">
        <f t="shared" si="4"/>
        <v>0</v>
      </c>
      <c r="W10" s="41">
        <f t="shared" si="5"/>
        <v>500</v>
      </c>
      <c r="X10" s="44"/>
      <c r="Y10" s="44">
        <v>0</v>
      </c>
      <c r="Z10" s="44">
        <f t="shared" si="6"/>
        <v>0</v>
      </c>
      <c r="AA10" s="45"/>
      <c r="AB10" s="41">
        <v>0</v>
      </c>
      <c r="AC10" s="41">
        <f t="shared" si="7"/>
        <v>0</v>
      </c>
      <c r="AD10" s="44"/>
      <c r="AE10" s="41">
        <v>0</v>
      </c>
      <c r="AF10" s="41">
        <f t="shared" si="8"/>
        <v>0</v>
      </c>
      <c r="AG10" s="41"/>
      <c r="AH10" s="41">
        <v>0</v>
      </c>
      <c r="AI10" s="41">
        <f t="shared" si="9"/>
        <v>0</v>
      </c>
      <c r="AJ10" s="44"/>
      <c r="AK10" s="41">
        <v>0</v>
      </c>
      <c r="AL10" s="44">
        <f t="shared" si="10"/>
        <v>0</v>
      </c>
      <c r="AM10" s="44"/>
      <c r="AN10" s="44"/>
      <c r="AO10" s="44"/>
      <c r="AP10" s="41">
        <v>0</v>
      </c>
      <c r="AQ10" s="41">
        <f t="shared" si="11"/>
        <v>0</v>
      </c>
      <c r="AR10" s="47"/>
      <c r="AS10" s="47"/>
      <c r="AT10" s="46"/>
      <c r="AU10" s="48" t="s">
        <v>64</v>
      </c>
      <c r="AV10" s="46"/>
      <c r="AW10" s="46"/>
      <c r="AX10" s="40">
        <v>11111111111</v>
      </c>
      <c r="AY10" s="46"/>
    </row>
    <row r="11" ht="21.95" customHeight="1" spans="1:51">
      <c r="A11" s="37">
        <v>6</v>
      </c>
      <c r="B11" s="38" t="s">
        <v>74</v>
      </c>
      <c r="C11" s="39" t="s">
        <v>62</v>
      </c>
      <c r="D11" s="40" t="s">
        <v>75</v>
      </c>
      <c r="E11" s="41"/>
      <c r="F11" s="41"/>
      <c r="G11" s="41"/>
      <c r="H11" s="41"/>
      <c r="I11" s="41"/>
      <c r="J11" s="41"/>
      <c r="K11" s="41"/>
      <c r="L11" s="42">
        <v>500</v>
      </c>
      <c r="M11" s="41"/>
      <c r="N11" s="41"/>
      <c r="O11" s="41"/>
      <c r="P11" s="41">
        <f t="shared" si="0"/>
        <v>500</v>
      </c>
      <c r="Q11" s="41">
        <f t="shared" si="1"/>
        <v>0</v>
      </c>
      <c r="R11" s="43"/>
      <c r="S11" s="42"/>
      <c r="T11" s="41">
        <f t="shared" si="2"/>
        <v>0</v>
      </c>
      <c r="U11" s="42">
        <f t="shared" si="3"/>
        <v>500</v>
      </c>
      <c r="V11" s="41">
        <f t="shared" si="4"/>
        <v>0</v>
      </c>
      <c r="W11" s="41">
        <f t="shared" si="5"/>
        <v>500</v>
      </c>
      <c r="X11" s="44"/>
      <c r="Y11" s="44">
        <v>0</v>
      </c>
      <c r="Z11" s="44">
        <f t="shared" si="6"/>
        <v>0</v>
      </c>
      <c r="AA11" s="45"/>
      <c r="AB11" s="41">
        <v>0</v>
      </c>
      <c r="AC11" s="41">
        <f t="shared" si="7"/>
        <v>0</v>
      </c>
      <c r="AD11" s="44"/>
      <c r="AE11" s="41">
        <v>0</v>
      </c>
      <c r="AF11" s="41">
        <f t="shared" si="8"/>
        <v>0</v>
      </c>
      <c r="AG11" s="41"/>
      <c r="AH11" s="41">
        <v>0</v>
      </c>
      <c r="AI11" s="41">
        <f t="shared" si="9"/>
        <v>0</v>
      </c>
      <c r="AJ11" s="44"/>
      <c r="AK11" s="41">
        <v>0</v>
      </c>
      <c r="AL11" s="44">
        <f t="shared" si="10"/>
        <v>0</v>
      </c>
      <c r="AM11" s="44"/>
      <c r="AN11" s="44"/>
      <c r="AO11" s="44"/>
      <c r="AP11" s="41">
        <v>0</v>
      </c>
      <c r="AQ11" s="41">
        <f t="shared" si="11"/>
        <v>0</v>
      </c>
      <c r="AR11" s="47"/>
      <c r="AS11" s="47"/>
      <c r="AT11" s="46"/>
      <c r="AU11" s="48" t="s">
        <v>64</v>
      </c>
      <c r="AV11" s="46"/>
      <c r="AW11" s="46"/>
      <c r="AX11" s="40">
        <v>11111111111</v>
      </c>
      <c r="AY11" s="46"/>
    </row>
    <row r="12" ht="21.95" customHeight="1" spans="1:51">
      <c r="A12" s="37">
        <v>7</v>
      </c>
      <c r="B12" s="38" t="s">
        <v>76</v>
      </c>
      <c r="C12" s="39" t="s">
        <v>62</v>
      </c>
      <c r="D12" s="40" t="s">
        <v>77</v>
      </c>
      <c r="E12" s="41"/>
      <c r="F12" s="41"/>
      <c r="G12" s="41"/>
      <c r="H12" s="41"/>
      <c r="I12" s="41"/>
      <c r="J12" s="41"/>
      <c r="K12" s="41"/>
      <c r="L12" s="42">
        <v>500</v>
      </c>
      <c r="M12" s="41"/>
      <c r="N12" s="41"/>
      <c r="O12" s="41"/>
      <c r="P12" s="41">
        <f t="shared" si="0"/>
        <v>500</v>
      </c>
      <c r="Q12" s="41">
        <f t="shared" si="1"/>
        <v>0</v>
      </c>
      <c r="R12" s="43">
        <v>0</v>
      </c>
      <c r="S12" s="42"/>
      <c r="T12" s="41">
        <f t="shared" si="2"/>
        <v>0</v>
      </c>
      <c r="U12" s="42">
        <f t="shared" si="3"/>
        <v>500</v>
      </c>
      <c r="V12" s="41">
        <f t="shared" si="4"/>
        <v>0</v>
      </c>
      <c r="W12" s="41">
        <f t="shared" si="5"/>
        <v>500</v>
      </c>
      <c r="X12" s="44"/>
      <c r="Y12" s="44">
        <v>0</v>
      </c>
      <c r="Z12" s="44">
        <f t="shared" si="6"/>
        <v>0</v>
      </c>
      <c r="AA12" s="45"/>
      <c r="AB12" s="41">
        <v>0</v>
      </c>
      <c r="AC12" s="41">
        <f t="shared" si="7"/>
        <v>0</v>
      </c>
      <c r="AD12" s="44"/>
      <c r="AE12" s="41">
        <v>0</v>
      </c>
      <c r="AF12" s="41">
        <f t="shared" si="8"/>
        <v>0</v>
      </c>
      <c r="AG12" s="41"/>
      <c r="AH12" s="41">
        <v>0</v>
      </c>
      <c r="AI12" s="41">
        <f t="shared" si="9"/>
        <v>0</v>
      </c>
      <c r="AJ12" s="44"/>
      <c r="AK12" s="41">
        <v>0</v>
      </c>
      <c r="AL12" s="44">
        <f t="shared" si="10"/>
        <v>0</v>
      </c>
      <c r="AM12" s="44"/>
      <c r="AN12" s="44"/>
      <c r="AO12" s="44"/>
      <c r="AP12" s="41">
        <v>0</v>
      </c>
      <c r="AQ12" s="41">
        <f t="shared" si="11"/>
        <v>0</v>
      </c>
      <c r="AR12" s="47"/>
      <c r="AS12" s="47"/>
      <c r="AT12" s="46"/>
      <c r="AU12" s="48" t="s">
        <v>64</v>
      </c>
      <c r="AV12" s="46"/>
      <c r="AW12" s="46"/>
      <c r="AX12" s="40">
        <v>11111111111</v>
      </c>
      <c r="AY12" s="46"/>
    </row>
    <row r="13" s="4" customFormat="1" ht="21.95" customHeight="1" spans="1:51">
      <c r="A13" s="37">
        <v>8</v>
      </c>
      <c r="B13" s="38" t="s">
        <v>78</v>
      </c>
      <c r="C13" s="39" t="s">
        <v>62</v>
      </c>
      <c r="D13" s="108" t="s">
        <v>79</v>
      </c>
      <c r="E13" s="41"/>
      <c r="F13" s="41"/>
      <c r="G13" s="41"/>
      <c r="H13" s="41"/>
      <c r="I13" s="41"/>
      <c r="J13" s="41"/>
      <c r="K13" s="41"/>
      <c r="L13" s="42">
        <v>500</v>
      </c>
      <c r="M13" s="41"/>
      <c r="N13" s="41"/>
      <c r="O13" s="41"/>
      <c r="P13" s="41">
        <f t="shared" si="0"/>
        <v>500</v>
      </c>
      <c r="Q13" s="41">
        <f t="shared" si="1"/>
        <v>0</v>
      </c>
      <c r="R13" s="43">
        <v>0</v>
      </c>
      <c r="S13" s="42"/>
      <c r="T13" s="41">
        <f t="shared" si="2"/>
        <v>0</v>
      </c>
      <c r="U13" s="42">
        <f t="shared" si="3"/>
        <v>500</v>
      </c>
      <c r="V13" s="41">
        <f t="shared" si="4"/>
        <v>0</v>
      </c>
      <c r="W13" s="41">
        <f t="shared" si="5"/>
        <v>500</v>
      </c>
      <c r="X13" s="44"/>
      <c r="Y13" s="44">
        <v>0</v>
      </c>
      <c r="Z13" s="44">
        <f t="shared" si="6"/>
        <v>0</v>
      </c>
      <c r="AA13" s="45"/>
      <c r="AB13" s="41">
        <v>0</v>
      </c>
      <c r="AC13" s="41">
        <f t="shared" si="7"/>
        <v>0</v>
      </c>
      <c r="AD13" s="44"/>
      <c r="AE13" s="41">
        <v>0</v>
      </c>
      <c r="AF13" s="41">
        <f t="shared" si="8"/>
        <v>0</v>
      </c>
      <c r="AG13" s="41"/>
      <c r="AH13" s="41">
        <v>0</v>
      </c>
      <c r="AI13" s="41">
        <f t="shared" si="9"/>
        <v>0</v>
      </c>
      <c r="AJ13" s="44"/>
      <c r="AK13" s="41">
        <v>0</v>
      </c>
      <c r="AL13" s="44">
        <f t="shared" si="10"/>
        <v>0</v>
      </c>
      <c r="AM13" s="44"/>
      <c r="AN13" s="44"/>
      <c r="AO13" s="44"/>
      <c r="AP13" s="41">
        <v>0</v>
      </c>
      <c r="AQ13" s="41">
        <f t="shared" si="11"/>
        <v>0</v>
      </c>
      <c r="AR13" s="47"/>
      <c r="AS13" s="47"/>
      <c r="AT13" s="47"/>
      <c r="AU13" s="48" t="s">
        <v>80</v>
      </c>
      <c r="AV13" s="46"/>
      <c r="AW13" s="46"/>
      <c r="AX13" s="40">
        <v>11111111111</v>
      </c>
      <c r="AY13" s="46"/>
    </row>
    <row r="14" s="4" customFormat="1" ht="21.95" customHeight="1" spans="1:51">
      <c r="A14" s="37">
        <v>9</v>
      </c>
      <c r="B14" s="38" t="s">
        <v>81</v>
      </c>
      <c r="C14" s="55" t="s">
        <v>62</v>
      </c>
      <c r="D14" s="109" t="s">
        <v>82</v>
      </c>
      <c r="E14" s="41"/>
      <c r="F14" s="41"/>
      <c r="G14" s="41"/>
      <c r="H14" s="41"/>
      <c r="I14" s="41"/>
      <c r="J14" s="41"/>
      <c r="K14" s="41"/>
      <c r="L14" s="42">
        <v>500</v>
      </c>
      <c r="M14" s="41"/>
      <c r="N14" s="41"/>
      <c r="O14" s="41"/>
      <c r="P14" s="41">
        <f t="shared" si="0"/>
        <v>500</v>
      </c>
      <c r="Q14" s="41">
        <f t="shared" si="1"/>
        <v>0</v>
      </c>
      <c r="R14" s="43"/>
      <c r="S14" s="42"/>
      <c r="T14" s="41">
        <f t="shared" si="2"/>
        <v>0</v>
      </c>
      <c r="U14" s="42">
        <f t="shared" si="3"/>
        <v>500</v>
      </c>
      <c r="V14" s="41">
        <f t="shared" si="4"/>
        <v>0</v>
      </c>
      <c r="W14" s="41">
        <f t="shared" si="5"/>
        <v>500</v>
      </c>
      <c r="X14" s="44"/>
      <c r="Y14" s="44">
        <v>0</v>
      </c>
      <c r="Z14" s="44">
        <f t="shared" si="6"/>
        <v>0</v>
      </c>
      <c r="AA14" s="45"/>
      <c r="AB14" s="41">
        <v>0</v>
      </c>
      <c r="AC14" s="41">
        <f t="shared" si="7"/>
        <v>0</v>
      </c>
      <c r="AD14" s="44"/>
      <c r="AE14" s="41">
        <v>0</v>
      </c>
      <c r="AF14" s="41">
        <f t="shared" si="8"/>
        <v>0</v>
      </c>
      <c r="AG14" s="41"/>
      <c r="AH14" s="41">
        <v>0</v>
      </c>
      <c r="AI14" s="41">
        <f t="shared" si="9"/>
        <v>0</v>
      </c>
      <c r="AJ14" s="44"/>
      <c r="AK14" s="41">
        <v>0</v>
      </c>
      <c r="AL14" s="44">
        <f t="shared" si="10"/>
        <v>0</v>
      </c>
      <c r="AM14" s="44"/>
      <c r="AN14" s="44"/>
      <c r="AO14" s="44"/>
      <c r="AP14" s="41">
        <v>0</v>
      </c>
      <c r="AQ14" s="41">
        <f t="shared" si="11"/>
        <v>0</v>
      </c>
      <c r="AR14" s="47"/>
      <c r="AS14" s="47"/>
      <c r="AT14" s="47"/>
      <c r="AU14" s="48" t="s">
        <v>64</v>
      </c>
      <c r="AV14" s="46"/>
      <c r="AW14" s="46"/>
      <c r="AX14" s="40">
        <v>11111111111</v>
      </c>
      <c r="AY14" s="46"/>
    </row>
    <row r="15" s="4" customFormat="1" ht="21.95" customHeight="1" spans="1:51">
      <c r="A15" s="37">
        <v>10</v>
      </c>
      <c r="B15" s="38" t="s">
        <v>83</v>
      </c>
      <c r="C15" s="55" t="s">
        <v>62</v>
      </c>
      <c r="D15" s="109" t="s">
        <v>84</v>
      </c>
      <c r="E15" s="41"/>
      <c r="F15" s="41"/>
      <c r="G15" s="41"/>
      <c r="H15" s="41"/>
      <c r="I15" s="41"/>
      <c r="J15" s="41"/>
      <c r="K15" s="41"/>
      <c r="L15" s="42">
        <v>500</v>
      </c>
      <c r="M15" s="41"/>
      <c r="N15" s="41"/>
      <c r="O15" s="41"/>
      <c r="P15" s="41">
        <f t="shared" si="0"/>
        <v>500</v>
      </c>
      <c r="Q15" s="41">
        <f t="shared" si="1"/>
        <v>0</v>
      </c>
      <c r="R15" s="43">
        <v>0</v>
      </c>
      <c r="S15" s="42"/>
      <c r="T15" s="41">
        <f t="shared" si="2"/>
        <v>0</v>
      </c>
      <c r="U15" s="42">
        <f t="shared" si="3"/>
        <v>500</v>
      </c>
      <c r="V15" s="41">
        <f t="shared" si="4"/>
        <v>0</v>
      </c>
      <c r="W15" s="41">
        <f t="shared" si="5"/>
        <v>500</v>
      </c>
      <c r="X15" s="44"/>
      <c r="Y15" s="44">
        <v>0</v>
      </c>
      <c r="Z15" s="44">
        <f t="shared" si="6"/>
        <v>0</v>
      </c>
      <c r="AA15" s="45"/>
      <c r="AB15" s="41">
        <v>0</v>
      </c>
      <c r="AC15" s="41">
        <f t="shared" si="7"/>
        <v>0</v>
      </c>
      <c r="AD15" s="44"/>
      <c r="AE15" s="41">
        <v>0</v>
      </c>
      <c r="AF15" s="41">
        <f t="shared" si="8"/>
        <v>0</v>
      </c>
      <c r="AG15" s="41"/>
      <c r="AH15" s="41">
        <v>0</v>
      </c>
      <c r="AI15" s="41">
        <f t="shared" si="9"/>
        <v>0</v>
      </c>
      <c r="AJ15" s="44"/>
      <c r="AK15" s="41">
        <v>0</v>
      </c>
      <c r="AL15" s="44">
        <f t="shared" si="10"/>
        <v>0</v>
      </c>
      <c r="AM15" s="44"/>
      <c r="AN15" s="44"/>
      <c r="AO15" s="44"/>
      <c r="AP15" s="41">
        <v>0</v>
      </c>
      <c r="AQ15" s="41">
        <f t="shared" si="11"/>
        <v>0</v>
      </c>
      <c r="AR15" s="47"/>
      <c r="AS15" s="47"/>
      <c r="AT15" s="47"/>
      <c r="AU15" s="48" t="s">
        <v>64</v>
      </c>
      <c r="AV15" s="46"/>
      <c r="AW15" s="46"/>
      <c r="AX15" s="40">
        <v>11111111111</v>
      </c>
      <c r="AY15" s="46"/>
    </row>
    <row r="16" s="4" customFormat="1" ht="21.95" customHeight="1" spans="1:51">
      <c r="A16" s="37">
        <v>11</v>
      </c>
      <c r="B16" s="38" t="s">
        <v>85</v>
      </c>
      <c r="C16" s="55" t="s">
        <v>62</v>
      </c>
      <c r="D16" s="109" t="s">
        <v>86</v>
      </c>
      <c r="E16" s="41"/>
      <c r="F16" s="41"/>
      <c r="G16" s="41"/>
      <c r="H16" s="41"/>
      <c r="I16" s="41"/>
      <c r="J16" s="41"/>
      <c r="K16" s="41"/>
      <c r="L16" s="42">
        <v>500</v>
      </c>
      <c r="M16" s="41"/>
      <c r="N16" s="41"/>
      <c r="O16" s="41"/>
      <c r="P16" s="41">
        <f t="shared" si="0"/>
        <v>500</v>
      </c>
      <c r="Q16" s="41">
        <f t="shared" si="1"/>
        <v>0</v>
      </c>
      <c r="R16" s="43">
        <v>0</v>
      </c>
      <c r="S16" s="42"/>
      <c r="T16" s="41">
        <f t="shared" si="2"/>
        <v>0</v>
      </c>
      <c r="U16" s="42">
        <f t="shared" si="3"/>
        <v>500</v>
      </c>
      <c r="V16" s="41">
        <f t="shared" si="4"/>
        <v>0</v>
      </c>
      <c r="W16" s="41">
        <f t="shared" si="5"/>
        <v>500</v>
      </c>
      <c r="X16" s="44"/>
      <c r="Y16" s="44">
        <v>0</v>
      </c>
      <c r="Z16" s="44">
        <f t="shared" si="6"/>
        <v>0</v>
      </c>
      <c r="AA16" s="45"/>
      <c r="AB16" s="41">
        <v>0</v>
      </c>
      <c r="AC16" s="41">
        <f t="shared" si="7"/>
        <v>0</v>
      </c>
      <c r="AD16" s="44"/>
      <c r="AE16" s="41">
        <v>0</v>
      </c>
      <c r="AF16" s="41">
        <f t="shared" si="8"/>
        <v>0</v>
      </c>
      <c r="AG16" s="41"/>
      <c r="AH16" s="41">
        <v>0</v>
      </c>
      <c r="AI16" s="41">
        <f t="shared" si="9"/>
        <v>0</v>
      </c>
      <c r="AJ16" s="44"/>
      <c r="AK16" s="41">
        <v>0</v>
      </c>
      <c r="AL16" s="44">
        <f t="shared" si="10"/>
        <v>0</v>
      </c>
      <c r="AM16" s="44"/>
      <c r="AN16" s="44"/>
      <c r="AO16" s="44"/>
      <c r="AP16" s="41">
        <v>0</v>
      </c>
      <c r="AQ16" s="41">
        <f t="shared" si="11"/>
        <v>0</v>
      </c>
      <c r="AR16" s="47"/>
      <c r="AS16" s="47"/>
      <c r="AT16" s="47"/>
      <c r="AU16" s="48" t="s">
        <v>64</v>
      </c>
      <c r="AV16" s="46"/>
      <c r="AW16" s="46"/>
      <c r="AX16" s="40">
        <v>11111111111</v>
      </c>
      <c r="AY16" s="46"/>
    </row>
    <row r="17" s="4" customFormat="1" ht="21.95" customHeight="1" spans="1:51">
      <c r="A17" s="37">
        <v>12</v>
      </c>
      <c r="B17" s="38" t="s">
        <v>87</v>
      </c>
      <c r="C17" s="39" t="s">
        <v>62</v>
      </c>
      <c r="D17" s="40" t="s">
        <v>88</v>
      </c>
      <c r="E17" s="41"/>
      <c r="F17" s="41"/>
      <c r="G17" s="41"/>
      <c r="H17" s="41"/>
      <c r="I17" s="41"/>
      <c r="J17" s="41"/>
      <c r="K17" s="41"/>
      <c r="L17" s="42">
        <v>500</v>
      </c>
      <c r="M17" s="41"/>
      <c r="N17" s="41"/>
      <c r="O17" s="41"/>
      <c r="P17" s="41">
        <f t="shared" si="0"/>
        <v>500</v>
      </c>
      <c r="Q17" s="41">
        <f t="shared" si="1"/>
        <v>0</v>
      </c>
      <c r="R17" s="43"/>
      <c r="S17" s="42"/>
      <c r="T17" s="41">
        <f t="shared" si="2"/>
        <v>0</v>
      </c>
      <c r="U17" s="42">
        <f t="shared" si="3"/>
        <v>500</v>
      </c>
      <c r="V17" s="41">
        <f t="shared" si="4"/>
        <v>0</v>
      </c>
      <c r="W17" s="41">
        <f t="shared" si="5"/>
        <v>500</v>
      </c>
      <c r="X17" s="44"/>
      <c r="Y17" s="44">
        <v>0</v>
      </c>
      <c r="Z17" s="44">
        <f t="shared" si="6"/>
        <v>0</v>
      </c>
      <c r="AA17" s="45"/>
      <c r="AB17" s="41">
        <v>0</v>
      </c>
      <c r="AC17" s="41">
        <f t="shared" si="7"/>
        <v>0</v>
      </c>
      <c r="AD17" s="44"/>
      <c r="AE17" s="41">
        <v>0</v>
      </c>
      <c r="AF17" s="41">
        <f t="shared" si="8"/>
        <v>0</v>
      </c>
      <c r="AG17" s="41"/>
      <c r="AH17" s="41">
        <v>0</v>
      </c>
      <c r="AI17" s="41">
        <f t="shared" si="9"/>
        <v>0</v>
      </c>
      <c r="AJ17" s="44"/>
      <c r="AK17" s="41">
        <v>0</v>
      </c>
      <c r="AL17" s="44">
        <f t="shared" si="10"/>
        <v>0</v>
      </c>
      <c r="AM17" s="44"/>
      <c r="AN17" s="44"/>
      <c r="AO17" s="44"/>
      <c r="AP17" s="41">
        <v>0</v>
      </c>
      <c r="AQ17" s="41">
        <f t="shared" si="11"/>
        <v>0</v>
      </c>
      <c r="AR17" s="47"/>
      <c r="AS17" s="47"/>
      <c r="AT17" s="46"/>
      <c r="AU17" s="48" t="s">
        <v>64</v>
      </c>
      <c r="AV17" s="46"/>
      <c r="AW17" s="46"/>
      <c r="AX17" s="40">
        <v>11111111111</v>
      </c>
      <c r="AY17" s="46"/>
    </row>
    <row r="18" s="4" customFormat="1" ht="21.95" customHeight="1" spans="1:51">
      <c r="A18" s="37">
        <v>13</v>
      </c>
      <c r="B18" s="38" t="s">
        <v>89</v>
      </c>
      <c r="C18" s="39" t="s">
        <v>62</v>
      </c>
      <c r="D18" s="109" t="s">
        <v>90</v>
      </c>
      <c r="E18" s="41"/>
      <c r="F18" s="41"/>
      <c r="G18" s="41"/>
      <c r="H18" s="41"/>
      <c r="I18" s="41"/>
      <c r="J18" s="41"/>
      <c r="K18" s="41"/>
      <c r="L18" s="42">
        <v>500</v>
      </c>
      <c r="M18" s="41"/>
      <c r="N18" s="41"/>
      <c r="O18" s="41"/>
      <c r="P18" s="41">
        <f t="shared" si="0"/>
        <v>500</v>
      </c>
      <c r="Q18" s="41">
        <f t="shared" si="1"/>
        <v>0</v>
      </c>
      <c r="R18" s="43"/>
      <c r="S18" s="42"/>
      <c r="T18" s="41"/>
      <c r="U18" s="42">
        <f t="shared" si="3"/>
        <v>500</v>
      </c>
      <c r="V18" s="41"/>
      <c r="W18" s="41">
        <f t="shared" si="5"/>
        <v>500</v>
      </c>
      <c r="X18" s="44"/>
      <c r="Y18" s="44">
        <v>0</v>
      </c>
      <c r="Z18" s="44">
        <f t="shared" si="6"/>
        <v>0</v>
      </c>
      <c r="AA18" s="45"/>
      <c r="AB18" s="41">
        <v>0</v>
      </c>
      <c r="AC18" s="41">
        <f t="shared" si="7"/>
        <v>0</v>
      </c>
      <c r="AD18" s="44"/>
      <c r="AE18" s="41">
        <v>0</v>
      </c>
      <c r="AF18" s="41">
        <f t="shared" si="8"/>
        <v>0</v>
      </c>
      <c r="AG18" s="41"/>
      <c r="AH18" s="41">
        <v>0</v>
      </c>
      <c r="AI18" s="41">
        <f t="shared" si="9"/>
        <v>0</v>
      </c>
      <c r="AJ18" s="44"/>
      <c r="AK18" s="41">
        <v>0</v>
      </c>
      <c r="AL18" s="44">
        <f t="shared" si="10"/>
        <v>0</v>
      </c>
      <c r="AM18" s="44"/>
      <c r="AN18" s="44"/>
      <c r="AO18" s="44"/>
      <c r="AP18" s="41">
        <v>0</v>
      </c>
      <c r="AQ18" s="41">
        <f t="shared" si="11"/>
        <v>0</v>
      </c>
      <c r="AR18" s="47"/>
      <c r="AS18" s="47"/>
      <c r="AT18" s="46"/>
      <c r="AU18" s="48" t="s">
        <v>64</v>
      </c>
      <c r="AV18" s="46"/>
      <c r="AW18" s="46"/>
      <c r="AX18" s="40">
        <v>11111111111</v>
      </c>
      <c r="AY18" s="46"/>
    </row>
    <row r="19" s="4" customFormat="1" ht="21.95" customHeight="1" spans="1:51">
      <c r="A19" s="37">
        <v>14</v>
      </c>
      <c r="B19" s="38" t="s">
        <v>91</v>
      </c>
      <c r="C19" s="39" t="s">
        <v>62</v>
      </c>
      <c r="D19" s="109" t="s">
        <v>92</v>
      </c>
      <c r="E19" s="41"/>
      <c r="F19" s="41"/>
      <c r="G19" s="41"/>
      <c r="H19" s="41"/>
      <c r="I19" s="41"/>
      <c r="J19" s="41"/>
      <c r="K19" s="41"/>
      <c r="L19" s="42">
        <v>500</v>
      </c>
      <c r="M19" s="41"/>
      <c r="N19" s="41"/>
      <c r="O19" s="41"/>
      <c r="P19" s="41">
        <f t="shared" si="0"/>
        <v>500</v>
      </c>
      <c r="Q19" s="41">
        <f t="shared" si="1"/>
        <v>0</v>
      </c>
      <c r="R19" s="43"/>
      <c r="S19" s="42"/>
      <c r="T19" s="41"/>
      <c r="U19" s="42">
        <f t="shared" si="3"/>
        <v>500</v>
      </c>
      <c r="V19" s="41"/>
      <c r="W19" s="41">
        <f t="shared" si="5"/>
        <v>500</v>
      </c>
      <c r="X19" s="44"/>
      <c r="Y19" s="44">
        <v>0</v>
      </c>
      <c r="Z19" s="44">
        <f t="shared" si="6"/>
        <v>0</v>
      </c>
      <c r="AA19" s="45"/>
      <c r="AB19" s="41">
        <v>0</v>
      </c>
      <c r="AC19" s="41">
        <f t="shared" si="7"/>
        <v>0</v>
      </c>
      <c r="AD19" s="44"/>
      <c r="AE19" s="41">
        <v>0</v>
      </c>
      <c r="AF19" s="41">
        <f t="shared" si="8"/>
        <v>0</v>
      </c>
      <c r="AG19" s="41"/>
      <c r="AH19" s="41">
        <v>0</v>
      </c>
      <c r="AI19" s="41">
        <f t="shared" si="9"/>
        <v>0</v>
      </c>
      <c r="AJ19" s="44"/>
      <c r="AK19" s="41">
        <v>0</v>
      </c>
      <c r="AL19" s="44">
        <f t="shared" si="10"/>
        <v>0</v>
      </c>
      <c r="AM19" s="44"/>
      <c r="AN19" s="44"/>
      <c r="AO19" s="44"/>
      <c r="AP19" s="41">
        <v>0</v>
      </c>
      <c r="AQ19" s="41">
        <f t="shared" si="11"/>
        <v>0</v>
      </c>
      <c r="AR19" s="47"/>
      <c r="AS19" s="47"/>
      <c r="AT19" s="46"/>
      <c r="AU19" s="48" t="s">
        <v>64</v>
      </c>
      <c r="AV19" s="46"/>
      <c r="AW19" s="46"/>
      <c r="AX19" s="40">
        <v>11111111111</v>
      </c>
      <c r="AY19" s="46"/>
    </row>
    <row r="20" s="1" customFormat="1" ht="21.95" customHeight="1" spans="1:51">
      <c r="A20" s="57" t="s">
        <v>93</v>
      </c>
      <c r="B20" s="58"/>
      <c r="C20" s="59"/>
      <c r="D20" s="59"/>
      <c r="E20" s="60"/>
      <c r="F20" s="60"/>
      <c r="G20" s="60"/>
      <c r="H20" s="60"/>
      <c r="I20" s="60"/>
      <c r="J20" s="60"/>
      <c r="K20" s="60"/>
      <c r="L20" s="60">
        <f>SUM(L6:L19)</f>
        <v>7000</v>
      </c>
      <c r="M20" s="60">
        <f t="shared" ref="M20:AP20" si="12">SUM(M6:M19)</f>
        <v>0</v>
      </c>
      <c r="N20" s="60">
        <f t="shared" si="12"/>
        <v>0</v>
      </c>
      <c r="O20" s="60">
        <f t="shared" si="12"/>
        <v>0</v>
      </c>
      <c r="P20" s="60">
        <f t="shared" si="12"/>
        <v>7000</v>
      </c>
      <c r="Q20" s="60">
        <f t="shared" si="12"/>
        <v>0</v>
      </c>
      <c r="R20" s="60">
        <f t="shared" si="12"/>
        <v>0</v>
      </c>
      <c r="S20" s="60">
        <f t="shared" si="12"/>
        <v>0</v>
      </c>
      <c r="T20" s="60">
        <f t="shared" si="12"/>
        <v>0</v>
      </c>
      <c r="U20" s="60">
        <f t="shared" si="12"/>
        <v>7000</v>
      </c>
      <c r="V20" s="60">
        <f t="shared" si="12"/>
        <v>0</v>
      </c>
      <c r="W20" s="60">
        <f t="shared" si="12"/>
        <v>7000</v>
      </c>
      <c r="X20" s="60">
        <f t="shared" si="12"/>
        <v>0</v>
      </c>
      <c r="Y20" s="60">
        <f t="shared" si="12"/>
        <v>0</v>
      </c>
      <c r="Z20" s="60">
        <f t="shared" si="12"/>
        <v>0</v>
      </c>
      <c r="AA20" s="60">
        <f t="shared" si="12"/>
        <v>0</v>
      </c>
      <c r="AB20" s="60">
        <f t="shared" si="12"/>
        <v>0</v>
      </c>
      <c r="AC20" s="60">
        <f t="shared" si="12"/>
        <v>0</v>
      </c>
      <c r="AD20" s="60">
        <f t="shared" si="12"/>
        <v>0</v>
      </c>
      <c r="AE20" s="60">
        <f t="shared" si="12"/>
        <v>0</v>
      </c>
      <c r="AF20" s="60">
        <f t="shared" si="12"/>
        <v>0</v>
      </c>
      <c r="AG20" s="60">
        <f t="shared" si="12"/>
        <v>0</v>
      </c>
      <c r="AH20" s="60">
        <f t="shared" si="12"/>
        <v>0</v>
      </c>
      <c r="AI20" s="60">
        <f t="shared" si="12"/>
        <v>0</v>
      </c>
      <c r="AJ20" s="60">
        <f t="shared" si="12"/>
        <v>0</v>
      </c>
      <c r="AK20" s="60">
        <f t="shared" si="12"/>
        <v>0</v>
      </c>
      <c r="AL20" s="60">
        <f t="shared" si="12"/>
        <v>0</v>
      </c>
      <c r="AM20" s="60">
        <f t="shared" si="12"/>
        <v>0</v>
      </c>
      <c r="AN20" s="60">
        <f t="shared" si="12"/>
        <v>0</v>
      </c>
      <c r="AO20" s="60">
        <f t="shared" si="12"/>
        <v>0</v>
      </c>
      <c r="AP20" s="60">
        <f t="shared" si="12"/>
        <v>0</v>
      </c>
      <c r="AQ20" s="60"/>
      <c r="AR20" s="61"/>
      <c r="AS20" s="62"/>
      <c r="AT20" s="62"/>
      <c r="AU20" s="62"/>
      <c r="AV20" s="46"/>
      <c r="AW20" s="62"/>
      <c r="AX20" s="62"/>
      <c r="AY20" s="63"/>
    </row>
    <row r="21" ht="21.95" customHeight="1" spans="1:51">
      <c r="A21" s="64">
        <v>15</v>
      </c>
      <c r="B21" s="38" t="s">
        <v>94</v>
      </c>
      <c r="C21" s="39" t="s">
        <v>62</v>
      </c>
      <c r="D21" s="40" t="s">
        <v>95</v>
      </c>
      <c r="E21" s="41"/>
      <c r="F21" s="41"/>
      <c r="G21" s="41"/>
      <c r="H21" s="41"/>
      <c r="I21" s="41"/>
      <c r="J21" s="41"/>
      <c r="K21" s="41"/>
      <c r="L21" s="42">
        <v>500</v>
      </c>
      <c r="M21" s="42"/>
      <c r="N21" s="41"/>
      <c r="O21" s="41"/>
      <c r="P21" s="41">
        <f t="shared" ref="P21:P32" si="13">ROUND(SUM(E21:L21)-SUM(M21:O21),2)</f>
        <v>500</v>
      </c>
      <c r="Q21" s="41">
        <f t="shared" ref="Q21:Q29" si="14">AF21</f>
        <v>0</v>
      </c>
      <c r="R21" s="43"/>
      <c r="S21" s="42"/>
      <c r="T21" s="41">
        <f t="shared" ref="T21:T29" si="15">ROUND(SUM(Q21:S21),2)</f>
        <v>0</v>
      </c>
      <c r="U21" s="42">
        <f t="shared" ref="U21:U32" si="16">ROUND(P21-T21,2)</f>
        <v>500</v>
      </c>
      <c r="V21" s="41">
        <f t="shared" ref="V21:V29" si="17">AQ21</f>
        <v>0</v>
      </c>
      <c r="W21" s="41">
        <f t="shared" ref="W21:W32" si="18">ROUND(T21+U21+V21,2)</f>
        <v>500</v>
      </c>
      <c r="X21" s="44"/>
      <c r="Y21" s="44">
        <v>0</v>
      </c>
      <c r="Z21" s="44">
        <f t="shared" ref="Z21:Z29" si="19">X21+Y21</f>
        <v>0</v>
      </c>
      <c r="AA21" s="45"/>
      <c r="AB21" s="41">
        <v>0</v>
      </c>
      <c r="AC21" s="41">
        <f t="shared" ref="AC21:AC29" si="20">AA21+AB21</f>
        <v>0</v>
      </c>
      <c r="AD21" s="44"/>
      <c r="AE21" s="41">
        <v>0</v>
      </c>
      <c r="AF21" s="41">
        <f t="shared" ref="AF21:AF29" si="21">Z21+AC21+AD21+AE21</f>
        <v>0</v>
      </c>
      <c r="AG21" s="41"/>
      <c r="AH21" s="41">
        <v>0</v>
      </c>
      <c r="AI21" s="41">
        <f t="shared" ref="AI21:AI29" si="22">AG21+AH21</f>
        <v>0</v>
      </c>
      <c r="AJ21" s="44"/>
      <c r="AK21" s="41">
        <v>0</v>
      </c>
      <c r="AL21" s="44">
        <f t="shared" ref="AL21:AL29" si="23">AJ21+AK21</f>
        <v>0</v>
      </c>
      <c r="AM21" s="44"/>
      <c r="AN21" s="44"/>
      <c r="AO21" s="44"/>
      <c r="AP21" s="41">
        <v>0</v>
      </c>
      <c r="AQ21" s="41">
        <f t="shared" ref="AQ21:AQ29" si="24">AI21+AL21+AM21+AN21+AO21+AP21</f>
        <v>0</v>
      </c>
      <c r="AR21" s="47"/>
      <c r="AS21" s="47"/>
      <c r="AT21" s="47"/>
      <c r="AU21" s="48" t="s">
        <v>80</v>
      </c>
      <c r="AV21" s="46"/>
      <c r="AW21" s="46"/>
      <c r="AX21" s="40">
        <v>11111111111</v>
      </c>
      <c r="AY21" s="46"/>
    </row>
    <row r="22" ht="21.95" customHeight="1" spans="1:51">
      <c r="A22" s="64">
        <v>16</v>
      </c>
      <c r="B22" s="38" t="s">
        <v>96</v>
      </c>
      <c r="C22" s="39" t="s">
        <v>62</v>
      </c>
      <c r="D22" s="40" t="s">
        <v>97</v>
      </c>
      <c r="E22" s="41"/>
      <c r="F22" s="41"/>
      <c r="G22" s="41"/>
      <c r="H22" s="41"/>
      <c r="I22" s="41"/>
      <c r="J22" s="41"/>
      <c r="K22" s="41"/>
      <c r="L22" s="42">
        <v>500</v>
      </c>
      <c r="M22" s="41"/>
      <c r="N22" s="41"/>
      <c r="O22" s="41"/>
      <c r="P22" s="41">
        <f t="shared" si="13"/>
        <v>500</v>
      </c>
      <c r="Q22" s="41">
        <f t="shared" si="14"/>
        <v>0</v>
      </c>
      <c r="R22" s="43">
        <v>0</v>
      </c>
      <c r="S22" s="42"/>
      <c r="T22" s="41">
        <f t="shared" si="15"/>
        <v>0</v>
      </c>
      <c r="U22" s="42">
        <f t="shared" si="16"/>
        <v>500</v>
      </c>
      <c r="V22" s="41">
        <f t="shared" si="17"/>
        <v>0</v>
      </c>
      <c r="W22" s="41">
        <f t="shared" si="18"/>
        <v>500</v>
      </c>
      <c r="X22" s="44"/>
      <c r="Y22" s="44">
        <v>0</v>
      </c>
      <c r="Z22" s="44">
        <f t="shared" si="19"/>
        <v>0</v>
      </c>
      <c r="AA22" s="45"/>
      <c r="AB22" s="41">
        <v>0</v>
      </c>
      <c r="AC22" s="41">
        <f t="shared" si="20"/>
        <v>0</v>
      </c>
      <c r="AD22" s="44"/>
      <c r="AE22" s="41">
        <v>0</v>
      </c>
      <c r="AF22" s="41">
        <f t="shared" si="21"/>
        <v>0</v>
      </c>
      <c r="AG22" s="41"/>
      <c r="AH22" s="41">
        <v>0</v>
      </c>
      <c r="AI22" s="41">
        <f t="shared" si="22"/>
        <v>0</v>
      </c>
      <c r="AJ22" s="44"/>
      <c r="AK22" s="41">
        <v>0</v>
      </c>
      <c r="AL22" s="44">
        <f t="shared" si="23"/>
        <v>0</v>
      </c>
      <c r="AM22" s="44"/>
      <c r="AN22" s="44"/>
      <c r="AO22" s="44"/>
      <c r="AP22" s="41">
        <v>0</v>
      </c>
      <c r="AQ22" s="41">
        <f t="shared" si="24"/>
        <v>0</v>
      </c>
      <c r="AR22" s="47"/>
      <c r="AS22" s="47"/>
      <c r="AT22" s="46"/>
      <c r="AU22" s="48" t="s">
        <v>64</v>
      </c>
      <c r="AV22" s="46"/>
      <c r="AW22" s="46"/>
      <c r="AX22" s="40">
        <v>11111111111</v>
      </c>
      <c r="AY22" s="46"/>
    </row>
    <row r="23" ht="22" customHeight="1" spans="1:51">
      <c r="A23" s="64">
        <v>17</v>
      </c>
      <c r="B23" s="38" t="s">
        <v>98</v>
      </c>
      <c r="C23" s="39" t="s">
        <v>62</v>
      </c>
      <c r="D23" s="40" t="s">
        <v>99</v>
      </c>
      <c r="E23" s="41"/>
      <c r="F23" s="41"/>
      <c r="G23" s="41"/>
      <c r="H23" s="41"/>
      <c r="I23" s="41"/>
      <c r="J23" s="41"/>
      <c r="K23" s="41"/>
      <c r="L23" s="42">
        <v>500</v>
      </c>
      <c r="M23" s="41"/>
      <c r="N23" s="41"/>
      <c r="O23" s="41"/>
      <c r="P23" s="41">
        <f t="shared" si="13"/>
        <v>500</v>
      </c>
      <c r="Q23" s="41">
        <f t="shared" si="14"/>
        <v>0</v>
      </c>
      <c r="R23" s="43">
        <v>0</v>
      </c>
      <c r="S23" s="42"/>
      <c r="T23" s="41">
        <f t="shared" si="15"/>
        <v>0</v>
      </c>
      <c r="U23" s="42">
        <f t="shared" si="16"/>
        <v>500</v>
      </c>
      <c r="V23" s="41">
        <f t="shared" si="17"/>
        <v>0</v>
      </c>
      <c r="W23" s="41">
        <f t="shared" si="18"/>
        <v>500</v>
      </c>
      <c r="X23" s="44"/>
      <c r="Y23" s="44">
        <v>0</v>
      </c>
      <c r="Z23" s="44">
        <f t="shared" si="19"/>
        <v>0</v>
      </c>
      <c r="AA23" s="45"/>
      <c r="AB23" s="41">
        <v>0</v>
      </c>
      <c r="AC23" s="41">
        <f t="shared" si="20"/>
        <v>0</v>
      </c>
      <c r="AD23" s="44"/>
      <c r="AE23" s="41">
        <v>0</v>
      </c>
      <c r="AF23" s="41">
        <f t="shared" si="21"/>
        <v>0</v>
      </c>
      <c r="AG23" s="41"/>
      <c r="AH23" s="41">
        <v>0</v>
      </c>
      <c r="AI23" s="41">
        <f t="shared" si="22"/>
        <v>0</v>
      </c>
      <c r="AJ23" s="44"/>
      <c r="AK23" s="41">
        <v>0</v>
      </c>
      <c r="AL23" s="44">
        <f t="shared" si="23"/>
        <v>0</v>
      </c>
      <c r="AM23" s="44"/>
      <c r="AN23" s="44"/>
      <c r="AO23" s="44"/>
      <c r="AP23" s="41">
        <v>0</v>
      </c>
      <c r="AQ23" s="41">
        <f t="shared" si="24"/>
        <v>0</v>
      </c>
      <c r="AR23" s="47"/>
      <c r="AS23" s="47"/>
      <c r="AT23" s="46"/>
      <c r="AU23" s="48" t="s">
        <v>64</v>
      </c>
      <c r="AV23" s="46"/>
      <c r="AW23" s="46"/>
      <c r="AX23" s="40">
        <v>11111111111</v>
      </c>
      <c r="AY23" s="46"/>
    </row>
    <row r="24" s="3" customFormat="1" ht="21.95" customHeight="1" spans="1:51">
      <c r="A24" s="64">
        <v>18</v>
      </c>
      <c r="B24" s="38" t="s">
        <v>100</v>
      </c>
      <c r="C24" s="50" t="s">
        <v>62</v>
      </c>
      <c r="D24" s="51" t="s">
        <v>101</v>
      </c>
      <c r="E24" s="42"/>
      <c r="F24" s="42"/>
      <c r="G24" s="42"/>
      <c r="H24" s="42"/>
      <c r="I24" s="42"/>
      <c r="J24" s="42"/>
      <c r="K24" s="42"/>
      <c r="L24" s="42">
        <v>500</v>
      </c>
      <c r="M24" s="42"/>
      <c r="N24" s="42"/>
      <c r="O24" s="41"/>
      <c r="P24" s="41">
        <f t="shared" si="13"/>
        <v>500</v>
      </c>
      <c r="Q24" s="41">
        <f t="shared" si="14"/>
        <v>0</v>
      </c>
      <c r="R24" s="43">
        <v>0</v>
      </c>
      <c r="S24" s="42"/>
      <c r="T24" s="41">
        <f t="shared" si="15"/>
        <v>0</v>
      </c>
      <c r="U24" s="42">
        <f t="shared" si="16"/>
        <v>500</v>
      </c>
      <c r="V24" s="41">
        <f t="shared" si="17"/>
        <v>0</v>
      </c>
      <c r="W24" s="41">
        <f t="shared" si="18"/>
        <v>500</v>
      </c>
      <c r="X24" s="44"/>
      <c r="Y24" s="44">
        <v>0</v>
      </c>
      <c r="Z24" s="44">
        <f t="shared" si="19"/>
        <v>0</v>
      </c>
      <c r="AA24" s="45"/>
      <c r="AB24" s="41">
        <v>0</v>
      </c>
      <c r="AC24" s="41">
        <f t="shared" si="20"/>
        <v>0</v>
      </c>
      <c r="AD24" s="44"/>
      <c r="AE24" s="41">
        <v>0</v>
      </c>
      <c r="AF24" s="41">
        <f t="shared" si="21"/>
        <v>0</v>
      </c>
      <c r="AG24" s="41"/>
      <c r="AH24" s="41">
        <v>0</v>
      </c>
      <c r="AI24" s="41">
        <f t="shared" si="22"/>
        <v>0</v>
      </c>
      <c r="AJ24" s="44"/>
      <c r="AK24" s="41">
        <v>0</v>
      </c>
      <c r="AL24" s="44">
        <f t="shared" si="23"/>
        <v>0</v>
      </c>
      <c r="AM24" s="44"/>
      <c r="AN24" s="44"/>
      <c r="AO24" s="44"/>
      <c r="AP24" s="41">
        <v>0</v>
      </c>
      <c r="AQ24" s="41">
        <f t="shared" si="24"/>
        <v>0</v>
      </c>
      <c r="AR24" s="53"/>
      <c r="AS24" s="47"/>
      <c r="AT24" s="52"/>
      <c r="AU24" s="48" t="s">
        <v>64</v>
      </c>
      <c r="AV24" s="52"/>
      <c r="AW24" s="52"/>
      <c r="AX24" s="40">
        <v>11111111111</v>
      </c>
      <c r="AY24" s="52"/>
    </row>
    <row r="25" ht="21.95" customHeight="1" spans="1:51">
      <c r="A25" s="64">
        <v>19</v>
      </c>
      <c r="B25" s="38" t="s">
        <v>102</v>
      </c>
      <c r="C25" s="39" t="s">
        <v>62</v>
      </c>
      <c r="D25" s="40" t="s">
        <v>103</v>
      </c>
      <c r="E25" s="41"/>
      <c r="F25" s="41"/>
      <c r="G25" s="41"/>
      <c r="H25" s="41"/>
      <c r="I25" s="41"/>
      <c r="J25" s="41"/>
      <c r="K25" s="41"/>
      <c r="L25" s="42">
        <v>500</v>
      </c>
      <c r="M25" s="41"/>
      <c r="N25" s="41"/>
      <c r="O25" s="41"/>
      <c r="P25" s="41">
        <f t="shared" si="13"/>
        <v>500</v>
      </c>
      <c r="Q25" s="41">
        <f t="shared" si="14"/>
        <v>0</v>
      </c>
      <c r="R25" s="43">
        <v>0</v>
      </c>
      <c r="S25" s="42"/>
      <c r="T25" s="41">
        <f t="shared" si="15"/>
        <v>0</v>
      </c>
      <c r="U25" s="42">
        <f t="shared" si="16"/>
        <v>500</v>
      </c>
      <c r="V25" s="41">
        <f t="shared" si="17"/>
        <v>0</v>
      </c>
      <c r="W25" s="41">
        <f t="shared" si="18"/>
        <v>500</v>
      </c>
      <c r="X25" s="44"/>
      <c r="Y25" s="44">
        <v>0</v>
      </c>
      <c r="Z25" s="44">
        <f t="shared" si="19"/>
        <v>0</v>
      </c>
      <c r="AA25" s="45"/>
      <c r="AB25" s="41">
        <v>0</v>
      </c>
      <c r="AC25" s="41">
        <f t="shared" si="20"/>
        <v>0</v>
      </c>
      <c r="AD25" s="44"/>
      <c r="AE25" s="41">
        <v>0</v>
      </c>
      <c r="AF25" s="41">
        <f t="shared" si="21"/>
        <v>0</v>
      </c>
      <c r="AG25" s="41"/>
      <c r="AH25" s="41">
        <v>0</v>
      </c>
      <c r="AI25" s="41">
        <f t="shared" si="22"/>
        <v>0</v>
      </c>
      <c r="AJ25" s="44"/>
      <c r="AK25" s="41">
        <v>0</v>
      </c>
      <c r="AL25" s="44">
        <f t="shared" si="23"/>
        <v>0</v>
      </c>
      <c r="AM25" s="44"/>
      <c r="AN25" s="44"/>
      <c r="AO25" s="44"/>
      <c r="AP25" s="41">
        <v>0</v>
      </c>
      <c r="AQ25" s="41">
        <f t="shared" si="24"/>
        <v>0</v>
      </c>
      <c r="AR25" s="47"/>
      <c r="AS25" s="47"/>
      <c r="AT25" s="46"/>
      <c r="AU25" s="48" t="s">
        <v>64</v>
      </c>
      <c r="AV25" s="46"/>
      <c r="AW25" s="46"/>
      <c r="AX25" s="40">
        <v>11111111111</v>
      </c>
      <c r="AY25" s="46"/>
    </row>
    <row r="26" ht="21.95" customHeight="1" spans="1:51">
      <c r="A26" s="64">
        <v>20</v>
      </c>
      <c r="B26" s="38" t="s">
        <v>104</v>
      </c>
      <c r="C26" s="50" t="s">
        <v>62</v>
      </c>
      <c r="D26" s="40" t="s">
        <v>105</v>
      </c>
      <c r="E26" s="41"/>
      <c r="F26" s="41"/>
      <c r="G26" s="41"/>
      <c r="H26" s="41"/>
      <c r="I26" s="41"/>
      <c r="J26" s="41"/>
      <c r="K26" s="41"/>
      <c r="L26" s="42">
        <v>500</v>
      </c>
      <c r="M26" s="41"/>
      <c r="N26" s="41"/>
      <c r="O26" s="41"/>
      <c r="P26" s="41">
        <f t="shared" si="13"/>
        <v>500</v>
      </c>
      <c r="Q26" s="41">
        <f t="shared" si="14"/>
        <v>0</v>
      </c>
      <c r="R26" s="43">
        <v>0</v>
      </c>
      <c r="S26" s="42"/>
      <c r="T26" s="41">
        <f t="shared" si="15"/>
        <v>0</v>
      </c>
      <c r="U26" s="42">
        <f t="shared" si="16"/>
        <v>500</v>
      </c>
      <c r="V26" s="41">
        <f t="shared" si="17"/>
        <v>0</v>
      </c>
      <c r="W26" s="41">
        <f t="shared" si="18"/>
        <v>500</v>
      </c>
      <c r="X26" s="44"/>
      <c r="Y26" s="44">
        <v>0</v>
      </c>
      <c r="Z26" s="44">
        <f t="shared" si="19"/>
        <v>0</v>
      </c>
      <c r="AA26" s="45"/>
      <c r="AB26" s="41">
        <v>0</v>
      </c>
      <c r="AC26" s="41">
        <f t="shared" si="20"/>
        <v>0</v>
      </c>
      <c r="AD26" s="44"/>
      <c r="AE26" s="41">
        <v>0</v>
      </c>
      <c r="AF26" s="41">
        <f t="shared" si="21"/>
        <v>0</v>
      </c>
      <c r="AG26" s="41"/>
      <c r="AH26" s="41">
        <v>0</v>
      </c>
      <c r="AI26" s="41">
        <f t="shared" si="22"/>
        <v>0</v>
      </c>
      <c r="AJ26" s="44"/>
      <c r="AK26" s="41">
        <v>0</v>
      </c>
      <c r="AL26" s="44">
        <f t="shared" si="23"/>
        <v>0</v>
      </c>
      <c r="AM26" s="44"/>
      <c r="AN26" s="44"/>
      <c r="AO26" s="44"/>
      <c r="AP26" s="41">
        <v>0</v>
      </c>
      <c r="AQ26" s="41">
        <f t="shared" si="24"/>
        <v>0</v>
      </c>
      <c r="AR26" s="47"/>
      <c r="AS26" s="47"/>
      <c r="AT26" s="53"/>
      <c r="AU26" s="48" t="s">
        <v>80</v>
      </c>
      <c r="AV26" s="46"/>
      <c r="AW26" s="46"/>
      <c r="AX26" s="40">
        <v>11111111111</v>
      </c>
      <c r="AY26" s="65"/>
    </row>
    <row r="27" ht="21.95" customHeight="1" spans="1:51">
      <c r="A27" s="64">
        <v>21</v>
      </c>
      <c r="B27" s="38" t="s">
        <v>106</v>
      </c>
      <c r="C27" s="50" t="s">
        <v>62</v>
      </c>
      <c r="D27" s="40" t="s">
        <v>107</v>
      </c>
      <c r="E27" s="41"/>
      <c r="F27" s="41"/>
      <c r="G27" s="41"/>
      <c r="H27" s="41"/>
      <c r="I27" s="41"/>
      <c r="J27" s="41"/>
      <c r="K27" s="41"/>
      <c r="L27" s="42">
        <v>500</v>
      </c>
      <c r="M27" s="41"/>
      <c r="N27" s="42"/>
      <c r="O27" s="41"/>
      <c r="P27" s="41">
        <f t="shared" si="13"/>
        <v>500</v>
      </c>
      <c r="Q27" s="41">
        <f t="shared" si="14"/>
        <v>0</v>
      </c>
      <c r="R27" s="43">
        <v>0</v>
      </c>
      <c r="S27" s="42"/>
      <c r="T27" s="41">
        <f t="shared" si="15"/>
        <v>0</v>
      </c>
      <c r="U27" s="42">
        <f t="shared" si="16"/>
        <v>500</v>
      </c>
      <c r="V27" s="41">
        <f t="shared" si="17"/>
        <v>0</v>
      </c>
      <c r="W27" s="41">
        <f t="shared" si="18"/>
        <v>500</v>
      </c>
      <c r="X27" s="44"/>
      <c r="Y27" s="44">
        <v>0</v>
      </c>
      <c r="Z27" s="44">
        <f t="shared" si="19"/>
        <v>0</v>
      </c>
      <c r="AA27" s="45"/>
      <c r="AB27" s="41">
        <v>0</v>
      </c>
      <c r="AC27" s="41">
        <f t="shared" si="20"/>
        <v>0</v>
      </c>
      <c r="AD27" s="44"/>
      <c r="AE27" s="41">
        <v>0</v>
      </c>
      <c r="AF27" s="41">
        <f t="shared" si="21"/>
        <v>0</v>
      </c>
      <c r="AG27" s="41"/>
      <c r="AH27" s="41">
        <v>0</v>
      </c>
      <c r="AI27" s="41">
        <f t="shared" si="22"/>
        <v>0</v>
      </c>
      <c r="AJ27" s="44"/>
      <c r="AK27" s="41">
        <v>0</v>
      </c>
      <c r="AL27" s="44">
        <f t="shared" si="23"/>
        <v>0</v>
      </c>
      <c r="AM27" s="44"/>
      <c r="AN27" s="44"/>
      <c r="AO27" s="44"/>
      <c r="AP27" s="41">
        <v>0</v>
      </c>
      <c r="AQ27" s="41">
        <f t="shared" si="24"/>
        <v>0</v>
      </c>
      <c r="AR27" s="47"/>
      <c r="AS27" s="47"/>
      <c r="AT27" s="46"/>
      <c r="AU27" s="48" t="s">
        <v>80</v>
      </c>
      <c r="AV27" s="46"/>
      <c r="AW27" s="46"/>
      <c r="AX27" s="40">
        <v>11111111111</v>
      </c>
      <c r="AY27" s="46"/>
    </row>
    <row r="28" ht="21.95" customHeight="1" spans="1:51">
      <c r="A28" s="64">
        <v>22</v>
      </c>
      <c r="B28" s="38" t="s">
        <v>108</v>
      </c>
      <c r="C28" s="39" t="s">
        <v>62</v>
      </c>
      <c r="D28" s="40" t="s">
        <v>109</v>
      </c>
      <c r="E28" s="41"/>
      <c r="F28" s="41"/>
      <c r="G28" s="41"/>
      <c r="H28" s="41"/>
      <c r="I28" s="41"/>
      <c r="J28" s="41"/>
      <c r="K28" s="41"/>
      <c r="L28" s="42">
        <v>500</v>
      </c>
      <c r="M28" s="41"/>
      <c r="N28" s="41"/>
      <c r="O28" s="41"/>
      <c r="P28" s="41">
        <f t="shared" si="13"/>
        <v>500</v>
      </c>
      <c r="Q28" s="41">
        <f t="shared" si="14"/>
        <v>0</v>
      </c>
      <c r="R28" s="43"/>
      <c r="S28" s="42"/>
      <c r="T28" s="41">
        <f t="shared" si="15"/>
        <v>0</v>
      </c>
      <c r="U28" s="42">
        <f t="shared" si="16"/>
        <v>500</v>
      </c>
      <c r="V28" s="41">
        <f t="shared" si="17"/>
        <v>0</v>
      </c>
      <c r="W28" s="41">
        <f t="shared" si="18"/>
        <v>500</v>
      </c>
      <c r="X28" s="44"/>
      <c r="Y28" s="44">
        <v>0</v>
      </c>
      <c r="Z28" s="44">
        <f t="shared" si="19"/>
        <v>0</v>
      </c>
      <c r="AA28" s="45"/>
      <c r="AB28" s="41">
        <v>0</v>
      </c>
      <c r="AC28" s="41">
        <f t="shared" si="20"/>
        <v>0</v>
      </c>
      <c r="AD28" s="44"/>
      <c r="AE28" s="41">
        <v>0</v>
      </c>
      <c r="AF28" s="41">
        <f t="shared" si="21"/>
        <v>0</v>
      </c>
      <c r="AG28" s="41"/>
      <c r="AH28" s="41">
        <v>0</v>
      </c>
      <c r="AI28" s="41">
        <f t="shared" si="22"/>
        <v>0</v>
      </c>
      <c r="AJ28" s="44"/>
      <c r="AK28" s="41">
        <v>0</v>
      </c>
      <c r="AL28" s="44">
        <f t="shared" si="23"/>
        <v>0</v>
      </c>
      <c r="AM28" s="44"/>
      <c r="AN28" s="44"/>
      <c r="AO28" s="44"/>
      <c r="AP28" s="41">
        <v>0</v>
      </c>
      <c r="AQ28" s="41">
        <f t="shared" si="24"/>
        <v>0</v>
      </c>
      <c r="AR28" s="47"/>
      <c r="AS28" s="47"/>
      <c r="AT28" s="47"/>
      <c r="AU28" s="48" t="s">
        <v>64</v>
      </c>
      <c r="AV28" s="46"/>
      <c r="AW28" s="46"/>
      <c r="AX28" s="40">
        <v>11111111111</v>
      </c>
      <c r="AY28" s="46"/>
    </row>
    <row r="29" ht="21.95" customHeight="1" spans="1:51">
      <c r="A29" s="64">
        <v>23</v>
      </c>
      <c r="B29" s="38" t="s">
        <v>110</v>
      </c>
      <c r="C29" s="39" t="s">
        <v>62</v>
      </c>
      <c r="D29" s="40" t="s">
        <v>111</v>
      </c>
      <c r="E29" s="41"/>
      <c r="F29" s="41"/>
      <c r="G29" s="41"/>
      <c r="H29" s="41"/>
      <c r="I29" s="41"/>
      <c r="J29" s="41"/>
      <c r="K29" s="41"/>
      <c r="L29" s="42">
        <v>500</v>
      </c>
      <c r="M29" s="41"/>
      <c r="N29" s="41"/>
      <c r="O29" s="41"/>
      <c r="P29" s="41">
        <f t="shared" si="13"/>
        <v>500</v>
      </c>
      <c r="Q29" s="41">
        <f t="shared" si="14"/>
        <v>0</v>
      </c>
      <c r="R29" s="43">
        <v>0</v>
      </c>
      <c r="S29" s="42"/>
      <c r="T29" s="41">
        <f t="shared" si="15"/>
        <v>0</v>
      </c>
      <c r="U29" s="42">
        <f t="shared" si="16"/>
        <v>500</v>
      </c>
      <c r="V29" s="41">
        <f t="shared" si="17"/>
        <v>0</v>
      </c>
      <c r="W29" s="41">
        <f t="shared" si="18"/>
        <v>500</v>
      </c>
      <c r="X29" s="44"/>
      <c r="Y29" s="44">
        <v>0</v>
      </c>
      <c r="Z29" s="44">
        <f t="shared" si="19"/>
        <v>0</v>
      </c>
      <c r="AA29" s="45"/>
      <c r="AB29" s="41">
        <v>0</v>
      </c>
      <c r="AC29" s="41">
        <f t="shared" si="20"/>
        <v>0</v>
      </c>
      <c r="AD29" s="44"/>
      <c r="AE29" s="41">
        <v>0</v>
      </c>
      <c r="AF29" s="41">
        <f t="shared" si="21"/>
        <v>0</v>
      </c>
      <c r="AG29" s="41"/>
      <c r="AH29" s="41">
        <v>0</v>
      </c>
      <c r="AI29" s="41">
        <f t="shared" si="22"/>
        <v>0</v>
      </c>
      <c r="AJ29" s="44"/>
      <c r="AK29" s="41">
        <v>0</v>
      </c>
      <c r="AL29" s="44">
        <f t="shared" si="23"/>
        <v>0</v>
      </c>
      <c r="AM29" s="44"/>
      <c r="AN29" s="44"/>
      <c r="AO29" s="44"/>
      <c r="AP29" s="41">
        <v>0</v>
      </c>
      <c r="AQ29" s="41">
        <f t="shared" si="24"/>
        <v>0</v>
      </c>
      <c r="AR29" s="47"/>
      <c r="AS29" s="47"/>
      <c r="AT29" s="46"/>
      <c r="AU29" s="48" t="s">
        <v>64</v>
      </c>
      <c r="AV29" s="46"/>
      <c r="AW29" s="46"/>
      <c r="AX29" s="40">
        <v>11111111111</v>
      </c>
      <c r="AY29" s="46"/>
    </row>
    <row r="30" s="1" customFormat="1" ht="21.95" customHeight="1" spans="1:51">
      <c r="A30" s="66" t="s">
        <v>112</v>
      </c>
      <c r="B30" s="67"/>
      <c r="C30" s="68"/>
      <c r="D30" s="68"/>
      <c r="E30" s="60"/>
      <c r="F30" s="60"/>
      <c r="G30" s="60"/>
      <c r="H30" s="60"/>
      <c r="I30" s="60"/>
      <c r="J30" s="60"/>
      <c r="K30" s="60"/>
      <c r="L30" s="60">
        <f>SUM(L21:L29)</f>
        <v>4500</v>
      </c>
      <c r="M30" s="60"/>
      <c r="N30" s="60"/>
      <c r="O30" s="60">
        <f>SUM(O21:O29)</f>
        <v>0</v>
      </c>
      <c r="P30" s="60">
        <f>SUM(P21:P29)</f>
        <v>4500</v>
      </c>
      <c r="Q30" s="60"/>
      <c r="R30" s="60"/>
      <c r="S30" s="60"/>
      <c r="T30" s="60"/>
      <c r="U30" s="60">
        <f>SUM(U21:U29)</f>
        <v>4500</v>
      </c>
      <c r="V30" s="60"/>
      <c r="W30" s="60">
        <f>SUM(W21:W29)</f>
        <v>4500</v>
      </c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9"/>
      <c r="AS30" s="69"/>
      <c r="AT30" s="69"/>
      <c r="AU30" s="48"/>
      <c r="AV30" s="69"/>
      <c r="AW30" s="69"/>
      <c r="AX30" s="69"/>
      <c r="AY30" s="69"/>
    </row>
    <row r="31" s="1" customFormat="1" ht="24.95" customHeight="1" spans="1:51">
      <c r="A31" s="70" t="s">
        <v>113</v>
      </c>
      <c r="B31" s="71"/>
      <c r="C31" s="72"/>
      <c r="D31" s="72"/>
      <c r="E31" s="60">
        <f t="shared" ref="E31:L31" si="25">E20+E30</f>
        <v>0</v>
      </c>
      <c r="F31" s="60">
        <f t="shared" si="25"/>
        <v>0</v>
      </c>
      <c r="G31" s="60">
        <f t="shared" si="25"/>
        <v>0</v>
      </c>
      <c r="H31" s="60">
        <f t="shared" si="25"/>
        <v>0</v>
      </c>
      <c r="I31" s="60">
        <f t="shared" si="25"/>
        <v>0</v>
      </c>
      <c r="J31" s="60">
        <f t="shared" si="25"/>
        <v>0</v>
      </c>
      <c r="K31" s="60">
        <f t="shared" si="25"/>
        <v>0</v>
      </c>
      <c r="L31" s="60">
        <f t="shared" si="25"/>
        <v>11500</v>
      </c>
      <c r="M31" s="60">
        <f t="shared" ref="L31:Z31" si="26">M20+M30</f>
        <v>0</v>
      </c>
      <c r="N31" s="60">
        <f t="shared" si="26"/>
        <v>0</v>
      </c>
      <c r="O31" s="60">
        <f t="shared" si="26"/>
        <v>0</v>
      </c>
      <c r="P31" s="60">
        <f t="shared" si="26"/>
        <v>11500</v>
      </c>
      <c r="Q31" s="60">
        <f t="shared" si="26"/>
        <v>0</v>
      </c>
      <c r="R31" s="60">
        <f t="shared" si="26"/>
        <v>0</v>
      </c>
      <c r="S31" s="60">
        <f t="shared" si="26"/>
        <v>0</v>
      </c>
      <c r="T31" s="60">
        <f t="shared" si="26"/>
        <v>0</v>
      </c>
      <c r="U31" s="60">
        <f t="shared" si="26"/>
        <v>11500</v>
      </c>
      <c r="V31" s="60">
        <f t="shared" si="26"/>
        <v>0</v>
      </c>
      <c r="W31" s="60">
        <f t="shared" si="26"/>
        <v>11500</v>
      </c>
      <c r="X31" s="60">
        <f t="shared" ref="X31:AQ31" si="27">X20+X30</f>
        <v>0</v>
      </c>
      <c r="Y31" s="60">
        <f t="shared" si="27"/>
        <v>0</v>
      </c>
      <c r="Z31" s="60">
        <f t="shared" si="27"/>
        <v>0</v>
      </c>
      <c r="AA31" s="60">
        <f t="shared" si="27"/>
        <v>0</v>
      </c>
      <c r="AB31" s="60">
        <f t="shared" si="27"/>
        <v>0</v>
      </c>
      <c r="AC31" s="60">
        <f t="shared" si="27"/>
        <v>0</v>
      </c>
      <c r="AD31" s="60">
        <f t="shared" si="27"/>
        <v>0</v>
      </c>
      <c r="AE31" s="60">
        <f t="shared" si="27"/>
        <v>0</v>
      </c>
      <c r="AF31" s="60">
        <f t="shared" si="27"/>
        <v>0</v>
      </c>
      <c r="AG31" s="60">
        <f t="shared" si="27"/>
        <v>0</v>
      </c>
      <c r="AH31" s="60">
        <f t="shared" si="27"/>
        <v>0</v>
      </c>
      <c r="AI31" s="60">
        <f t="shared" si="27"/>
        <v>0</v>
      </c>
      <c r="AJ31" s="60">
        <f t="shared" si="27"/>
        <v>0</v>
      </c>
      <c r="AK31" s="60">
        <f t="shared" si="27"/>
        <v>0</v>
      </c>
      <c r="AL31" s="60">
        <f t="shared" si="27"/>
        <v>0</v>
      </c>
      <c r="AM31" s="60">
        <f t="shared" si="27"/>
        <v>0</v>
      </c>
      <c r="AN31" s="60">
        <f t="shared" si="27"/>
        <v>0</v>
      </c>
      <c r="AO31" s="60">
        <f t="shared" si="27"/>
        <v>0</v>
      </c>
      <c r="AP31" s="60">
        <f t="shared" si="27"/>
        <v>0</v>
      </c>
      <c r="AQ31" s="60">
        <f t="shared" si="27"/>
        <v>0</v>
      </c>
      <c r="AR31" s="73"/>
      <c r="AS31" s="74"/>
      <c r="AT31" s="74"/>
      <c r="AU31" s="74"/>
      <c r="AV31" s="74"/>
      <c r="AW31" s="74"/>
      <c r="AX31" s="74"/>
      <c r="AY31" s="75"/>
    </row>
    <row r="32" spans="1:51">
      <c r="A32" s="76"/>
      <c r="B32" s="77"/>
      <c r="C32" s="78"/>
      <c r="D32" s="78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80"/>
      <c r="V32" s="79"/>
      <c r="W32" s="79"/>
      <c r="X32" s="79"/>
      <c r="Y32" s="79"/>
      <c r="Z32" s="79"/>
      <c r="AA32" s="81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82"/>
      <c r="AS32" s="82"/>
      <c r="AT32" s="82"/>
      <c r="AU32" s="82"/>
      <c r="AV32" s="82"/>
      <c r="AW32" s="82"/>
      <c r="AX32" s="83"/>
      <c r="AY32" s="82"/>
    </row>
    <row r="33" spans="1:51">
      <c r="A33" s="84"/>
      <c r="B33" s="85"/>
      <c r="C33" s="86"/>
      <c r="D33" s="86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8"/>
      <c r="V33" s="87"/>
      <c r="W33" s="87"/>
      <c r="X33" s="87"/>
      <c r="Y33" s="87"/>
      <c r="Z33" s="87"/>
      <c r="AA33" s="89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90"/>
      <c r="AS33" s="90"/>
      <c r="AT33" s="90"/>
      <c r="AU33" s="90"/>
      <c r="AV33" s="90"/>
      <c r="AW33" s="90"/>
      <c r="AX33" s="91"/>
      <c r="AY33" s="90"/>
    </row>
    <row r="34" spans="1:51">
      <c r="A34" s="84"/>
      <c r="B34" s="85"/>
      <c r="C34" s="86"/>
      <c r="D34" s="86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8"/>
      <c r="V34" s="87"/>
      <c r="W34" s="87"/>
      <c r="X34" s="87"/>
      <c r="Y34" s="87"/>
      <c r="Z34" s="87"/>
      <c r="AA34" s="89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90"/>
      <c r="AS34" s="90"/>
      <c r="AT34" s="90"/>
      <c r="AU34" s="90"/>
      <c r="AV34" s="90"/>
      <c r="AW34" s="90"/>
      <c r="AX34" s="91"/>
      <c r="AY34" s="90"/>
    </row>
    <row r="35" spans="1:51">
      <c r="A35" s="84"/>
      <c r="B35" s="85"/>
      <c r="C35" s="86"/>
      <c r="D35" s="86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8"/>
      <c r="V35" s="87"/>
      <c r="W35" s="87"/>
      <c r="X35" s="87"/>
      <c r="Y35" s="87"/>
      <c r="Z35" s="87"/>
      <c r="AA35" s="89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90"/>
      <c r="AS35" s="90"/>
      <c r="AT35" s="90"/>
      <c r="AU35" s="90"/>
      <c r="AV35" s="90"/>
      <c r="AW35" s="90"/>
      <c r="AX35" s="91"/>
      <c r="AY35" s="90"/>
    </row>
    <row r="36" spans="1:51">
      <c r="A36" s="84"/>
      <c r="B36" s="85"/>
      <c r="C36" s="86"/>
      <c r="D36" s="86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8"/>
      <c r="V36" s="87"/>
      <c r="W36" s="87"/>
      <c r="X36" s="87"/>
      <c r="Y36" s="87"/>
      <c r="Z36" s="87"/>
      <c r="AA36" s="89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90"/>
      <c r="AS36" s="90"/>
      <c r="AT36" s="90"/>
      <c r="AU36" s="90"/>
      <c r="AV36" s="90"/>
      <c r="AW36" s="90"/>
      <c r="AX36" s="91"/>
      <c r="AY36" s="90"/>
    </row>
    <row r="37" spans="1:51">
      <c r="A37" s="84"/>
      <c r="B37" s="85"/>
      <c r="C37" s="86"/>
      <c r="D37" s="86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8"/>
      <c r="V37" s="87"/>
      <c r="W37" s="87"/>
      <c r="X37" s="87"/>
      <c r="Y37" s="87"/>
      <c r="Z37" s="87"/>
      <c r="AA37" s="89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90"/>
      <c r="AS37" s="90"/>
      <c r="AT37" s="90"/>
      <c r="AU37" s="90"/>
      <c r="AV37" s="90"/>
      <c r="AW37" s="90"/>
      <c r="AX37" s="91"/>
      <c r="AY37" s="90"/>
    </row>
    <row r="38" spans="1:51">
      <c r="A38" s="84"/>
      <c r="B38" s="85"/>
      <c r="C38" s="86"/>
      <c r="D38" s="86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8"/>
      <c r="V38" s="87"/>
      <c r="W38" s="87"/>
      <c r="X38" s="87"/>
      <c r="Y38" s="87"/>
      <c r="Z38" s="87"/>
      <c r="AA38" s="89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90"/>
      <c r="AS38" s="90"/>
      <c r="AT38" s="90"/>
      <c r="AU38" s="90"/>
      <c r="AV38" s="90"/>
      <c r="AW38" s="90"/>
      <c r="AX38" s="91"/>
      <c r="AY38" s="90"/>
    </row>
    <row r="39" spans="1:51">
      <c r="A39" s="84"/>
      <c r="B39" s="85"/>
      <c r="C39" s="86"/>
      <c r="D39" s="86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8"/>
      <c r="V39" s="87"/>
      <c r="W39" s="87"/>
      <c r="X39" s="87"/>
      <c r="Y39" s="87"/>
      <c r="Z39" s="87"/>
      <c r="AA39" s="89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90"/>
      <c r="AS39" s="90"/>
      <c r="AT39" s="90"/>
      <c r="AU39" s="90"/>
      <c r="AV39" s="90"/>
      <c r="AW39" s="90"/>
      <c r="AX39" s="91"/>
      <c r="AY39" s="90"/>
    </row>
    <row r="40" spans="1:51">
      <c r="A40" s="84"/>
      <c r="B40" s="85"/>
      <c r="C40" s="86"/>
      <c r="D40" s="86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  <c r="V40" s="87"/>
      <c r="W40" s="87"/>
      <c r="X40" s="87"/>
      <c r="Y40" s="87"/>
      <c r="Z40" s="87"/>
      <c r="AA40" s="89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90"/>
      <c r="AS40" s="90"/>
      <c r="AT40" s="90"/>
      <c r="AU40" s="90"/>
      <c r="AV40" s="90"/>
      <c r="AW40" s="90"/>
      <c r="AX40" s="91"/>
      <c r="AY40" s="90"/>
    </row>
    <row r="41" spans="1:51">
      <c r="A41" s="84"/>
      <c r="B41" s="85"/>
      <c r="C41" s="86"/>
      <c r="D41" s="86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  <c r="V41" s="87"/>
      <c r="W41" s="87"/>
      <c r="X41" s="87"/>
      <c r="Y41" s="87"/>
      <c r="Z41" s="87"/>
      <c r="AA41" s="89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90"/>
      <c r="AS41" s="90"/>
      <c r="AT41" s="90"/>
      <c r="AU41" s="90"/>
      <c r="AV41" s="90"/>
      <c r="AW41" s="90"/>
      <c r="AX41" s="91"/>
      <c r="AY41" s="90"/>
    </row>
    <row r="42" spans="1:51">
      <c r="A42" s="84"/>
      <c r="B42" s="85"/>
      <c r="C42" s="86"/>
      <c r="D42" s="86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8"/>
      <c r="V42" s="87"/>
      <c r="W42" s="87"/>
      <c r="X42" s="87"/>
      <c r="Y42" s="87"/>
      <c r="Z42" s="87"/>
      <c r="AA42" s="89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90"/>
      <c r="AS42" s="90"/>
      <c r="AT42" s="90"/>
      <c r="AU42" s="90"/>
      <c r="AV42" s="90"/>
      <c r="AW42" s="90"/>
      <c r="AX42" s="91"/>
      <c r="AY42" s="90"/>
    </row>
    <row r="43" spans="1:51">
      <c r="A43" s="84"/>
      <c r="B43" s="85"/>
      <c r="C43" s="86"/>
      <c r="D43" s="86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8"/>
      <c r="V43" s="87"/>
      <c r="W43" s="87"/>
      <c r="X43" s="87"/>
      <c r="Y43" s="87"/>
      <c r="Z43" s="87"/>
      <c r="AA43" s="89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90"/>
      <c r="AS43" s="90"/>
      <c r="AT43" s="90"/>
      <c r="AU43" s="90"/>
      <c r="AV43" s="90"/>
      <c r="AW43" s="90"/>
      <c r="AX43" s="91"/>
      <c r="AY43" s="90"/>
    </row>
    <row r="44" spans="1:51">
      <c r="A44" s="84"/>
      <c r="B44" s="85"/>
      <c r="C44" s="86"/>
      <c r="D44" s="86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8"/>
      <c r="V44" s="87"/>
      <c r="W44" s="87"/>
      <c r="X44" s="87"/>
      <c r="Y44" s="87"/>
      <c r="Z44" s="87"/>
      <c r="AA44" s="89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90"/>
      <c r="AS44" s="90"/>
      <c r="AT44" s="90"/>
      <c r="AU44" s="90"/>
      <c r="AV44" s="90"/>
      <c r="AW44" s="90"/>
      <c r="AX44" s="91"/>
      <c r="AY44" s="90"/>
    </row>
    <row r="45" spans="1:51">
      <c r="A45" s="84"/>
      <c r="B45" s="85"/>
      <c r="C45" s="86"/>
      <c r="D45" s="86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8"/>
      <c r="V45" s="87"/>
      <c r="W45" s="87"/>
      <c r="X45" s="87"/>
      <c r="Y45" s="87"/>
      <c r="Z45" s="87"/>
      <c r="AA45" s="89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90"/>
      <c r="AS45" s="90"/>
      <c r="AT45" s="90"/>
      <c r="AU45" s="90"/>
      <c r="AV45" s="90"/>
      <c r="AW45" s="90"/>
      <c r="AX45" s="91"/>
      <c r="AY45" s="90"/>
    </row>
    <row r="46" spans="1:51">
      <c r="A46" s="84"/>
      <c r="B46" s="85"/>
      <c r="C46" s="86"/>
      <c r="D46" s="86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8"/>
      <c r="V46" s="87"/>
      <c r="W46" s="87"/>
      <c r="X46" s="87"/>
      <c r="Y46" s="87"/>
      <c r="Z46" s="87"/>
      <c r="AA46" s="89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90"/>
      <c r="AS46" s="90"/>
      <c r="AT46" s="90"/>
      <c r="AU46" s="90"/>
      <c r="AV46" s="90"/>
      <c r="AW46" s="90"/>
      <c r="AX46" s="91"/>
      <c r="AY46" s="90"/>
    </row>
    <row r="47" spans="1:51">
      <c r="A47" s="84"/>
      <c r="B47" s="85"/>
      <c r="C47" s="86"/>
      <c r="D47" s="86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8"/>
      <c r="V47" s="87"/>
      <c r="W47" s="87"/>
      <c r="X47" s="87"/>
      <c r="Y47" s="87"/>
      <c r="Z47" s="87"/>
      <c r="AA47" s="89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90"/>
      <c r="AS47" s="90"/>
      <c r="AT47" s="90"/>
      <c r="AU47" s="90"/>
      <c r="AV47" s="90"/>
      <c r="AW47" s="90"/>
      <c r="AX47" s="91"/>
      <c r="AY47" s="90"/>
    </row>
    <row r="48" spans="1:51">
      <c r="A48" s="84"/>
      <c r="B48" s="85"/>
      <c r="C48" s="86"/>
      <c r="D48" s="86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8"/>
      <c r="V48" s="87"/>
      <c r="W48" s="87"/>
      <c r="X48" s="87"/>
      <c r="Y48" s="87"/>
      <c r="Z48" s="87"/>
      <c r="AA48" s="89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90"/>
      <c r="AS48" s="90"/>
      <c r="AT48" s="90"/>
      <c r="AU48" s="90"/>
      <c r="AV48" s="90"/>
      <c r="AW48" s="90"/>
      <c r="AX48" s="91"/>
      <c r="AY48" s="90"/>
    </row>
    <row r="49" spans="1:51">
      <c r="A49" s="84"/>
      <c r="B49" s="85"/>
      <c r="C49" s="86"/>
      <c r="D49" s="86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8"/>
      <c r="V49" s="87"/>
      <c r="W49" s="87"/>
      <c r="X49" s="87"/>
      <c r="Y49" s="87"/>
      <c r="Z49" s="87"/>
      <c r="AA49" s="89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90"/>
      <c r="AS49" s="90"/>
      <c r="AT49" s="90"/>
      <c r="AU49" s="90"/>
      <c r="AV49" s="90"/>
      <c r="AW49" s="90"/>
      <c r="AX49" s="91"/>
      <c r="AY49" s="90"/>
    </row>
    <row r="50" spans="1:51">
      <c r="A50" s="84"/>
      <c r="B50" s="85"/>
      <c r="C50" s="86"/>
      <c r="D50" s="86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8"/>
      <c r="V50" s="87"/>
      <c r="W50" s="87"/>
      <c r="X50" s="87"/>
      <c r="Y50" s="87"/>
      <c r="Z50" s="87"/>
      <c r="AA50" s="89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90"/>
      <c r="AS50" s="90"/>
      <c r="AT50" s="90"/>
      <c r="AU50" s="90"/>
      <c r="AV50" s="90"/>
      <c r="AW50" s="90"/>
      <c r="AX50" s="91"/>
      <c r="AY50" s="90"/>
    </row>
    <row r="51" spans="1:51">
      <c r="A51" s="84"/>
      <c r="B51" s="85"/>
      <c r="C51" s="86"/>
      <c r="D51" s="86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8"/>
      <c r="V51" s="87"/>
      <c r="W51" s="87"/>
      <c r="X51" s="87"/>
      <c r="Y51" s="87"/>
      <c r="Z51" s="87"/>
      <c r="AA51" s="89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90"/>
      <c r="AS51" s="90"/>
      <c r="AT51" s="90"/>
      <c r="AU51" s="90"/>
      <c r="AV51" s="90"/>
      <c r="AW51" s="90"/>
      <c r="AX51" s="91"/>
      <c r="AY51" s="90"/>
    </row>
    <row r="52" spans="1:51">
      <c r="A52" s="84"/>
      <c r="B52" s="85"/>
      <c r="C52" s="86"/>
      <c r="D52" s="86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8"/>
      <c r="V52" s="87"/>
      <c r="W52" s="87"/>
      <c r="X52" s="87"/>
      <c r="Y52" s="87"/>
      <c r="Z52" s="87"/>
      <c r="AA52" s="89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90"/>
      <c r="AS52" s="90"/>
      <c r="AT52" s="90"/>
      <c r="AU52" s="90"/>
      <c r="AV52" s="90"/>
      <c r="AW52" s="90"/>
      <c r="AX52" s="91"/>
      <c r="AY52" s="90"/>
    </row>
    <row r="53" spans="1:51">
      <c r="A53" s="84"/>
      <c r="B53" s="85"/>
      <c r="C53" s="86"/>
      <c r="D53" s="86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8"/>
      <c r="V53" s="87"/>
      <c r="W53" s="87"/>
      <c r="X53" s="87"/>
      <c r="Y53" s="87"/>
      <c r="Z53" s="87"/>
      <c r="AA53" s="89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90"/>
      <c r="AS53" s="90"/>
      <c r="AT53" s="90"/>
      <c r="AU53" s="90"/>
      <c r="AV53" s="90"/>
      <c r="AW53" s="90"/>
      <c r="AX53" s="91"/>
      <c r="AY53" s="90"/>
    </row>
    <row r="54" spans="1:51">
      <c r="A54" s="84"/>
      <c r="B54" s="85"/>
      <c r="C54" s="86"/>
      <c r="D54" s="86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8"/>
      <c r="V54" s="87"/>
      <c r="W54" s="87"/>
      <c r="X54" s="87"/>
      <c r="Y54" s="87"/>
      <c r="Z54" s="87"/>
      <c r="AA54" s="89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90"/>
      <c r="AS54" s="90"/>
      <c r="AT54" s="90"/>
      <c r="AU54" s="90"/>
      <c r="AV54" s="90"/>
      <c r="AW54" s="90"/>
      <c r="AX54" s="91"/>
      <c r="AY54" s="90"/>
    </row>
    <row r="55" spans="1:51">
      <c r="A55" s="84"/>
      <c r="B55" s="85"/>
      <c r="C55" s="86"/>
      <c r="D55" s="86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8"/>
      <c r="V55" s="87"/>
      <c r="W55" s="87"/>
      <c r="X55" s="87"/>
      <c r="Y55" s="87"/>
      <c r="Z55" s="87"/>
      <c r="AA55" s="89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90"/>
      <c r="AS55" s="90"/>
      <c r="AT55" s="90"/>
      <c r="AU55" s="90"/>
      <c r="AV55" s="90"/>
      <c r="AW55" s="90"/>
      <c r="AX55" s="91"/>
      <c r="AY55" s="90"/>
    </row>
    <row r="56" spans="1:51">
      <c r="A56" s="84"/>
      <c r="B56" s="85"/>
      <c r="C56" s="86"/>
      <c r="D56" s="86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8"/>
      <c r="V56" s="87"/>
      <c r="W56" s="87"/>
      <c r="X56" s="87"/>
      <c r="Y56" s="87"/>
      <c r="Z56" s="87"/>
      <c r="AA56" s="89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90"/>
      <c r="AS56" s="90"/>
      <c r="AT56" s="90"/>
      <c r="AU56" s="90"/>
      <c r="AV56" s="90"/>
      <c r="AW56" s="90"/>
      <c r="AX56" s="91"/>
      <c r="AY56" s="90"/>
    </row>
    <row r="57" spans="1:51">
      <c r="A57" s="84"/>
      <c r="B57" s="85"/>
      <c r="C57" s="86"/>
      <c r="D57" s="86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8"/>
      <c r="V57" s="87"/>
      <c r="W57" s="87"/>
      <c r="X57" s="87"/>
      <c r="Y57" s="87"/>
      <c r="Z57" s="87"/>
      <c r="AA57" s="89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90"/>
      <c r="AS57" s="90"/>
      <c r="AT57" s="90"/>
      <c r="AU57" s="90"/>
      <c r="AV57" s="90"/>
      <c r="AW57" s="90"/>
      <c r="AX57" s="91"/>
      <c r="AY57" s="90"/>
    </row>
    <row r="58" spans="1:51">
      <c r="A58" s="84"/>
      <c r="B58" s="85"/>
      <c r="C58" s="86"/>
      <c r="D58" s="86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8"/>
      <c r="V58" s="87"/>
      <c r="W58" s="87"/>
      <c r="X58" s="87"/>
      <c r="Y58" s="87"/>
      <c r="Z58" s="87"/>
      <c r="AA58" s="89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90"/>
      <c r="AS58" s="90"/>
      <c r="AT58" s="90"/>
      <c r="AU58" s="90"/>
      <c r="AV58" s="90"/>
      <c r="AW58" s="90"/>
      <c r="AX58" s="91"/>
      <c r="AY58" s="90"/>
    </row>
    <row r="59" spans="1:51">
      <c r="A59" s="84"/>
      <c r="B59" s="85"/>
      <c r="C59" s="86"/>
      <c r="D59" s="86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8"/>
      <c r="V59" s="87"/>
      <c r="W59" s="87"/>
      <c r="X59" s="87"/>
      <c r="Y59" s="87"/>
      <c r="Z59" s="87"/>
      <c r="AA59" s="89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90"/>
      <c r="AS59" s="90"/>
      <c r="AT59" s="90"/>
      <c r="AU59" s="90"/>
      <c r="AV59" s="90"/>
      <c r="AW59" s="90"/>
      <c r="AX59" s="91"/>
      <c r="AY59" s="90"/>
    </row>
    <row r="60" spans="1:51">
      <c r="A60" s="84"/>
      <c r="B60" s="85"/>
      <c r="C60" s="86"/>
      <c r="D60" s="86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8"/>
      <c r="V60" s="87"/>
      <c r="W60" s="87"/>
      <c r="X60" s="87"/>
      <c r="Y60" s="87"/>
      <c r="Z60" s="87"/>
      <c r="AA60" s="89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90"/>
      <c r="AS60" s="90"/>
      <c r="AT60" s="90"/>
      <c r="AU60" s="90"/>
      <c r="AV60" s="90"/>
      <c r="AW60" s="90"/>
      <c r="AX60" s="91"/>
      <c r="AY60" s="90"/>
    </row>
    <row r="61" spans="1:51">
      <c r="A61" s="84"/>
      <c r="B61" s="85"/>
      <c r="C61" s="86"/>
      <c r="D61" s="86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8"/>
      <c r="V61" s="87"/>
      <c r="W61" s="87"/>
      <c r="X61" s="87"/>
      <c r="Y61" s="87"/>
      <c r="Z61" s="87"/>
      <c r="AA61" s="89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90"/>
      <c r="AS61" s="90"/>
      <c r="AT61" s="90"/>
      <c r="AU61" s="90"/>
      <c r="AV61" s="90"/>
      <c r="AW61" s="90"/>
      <c r="AX61" s="91"/>
      <c r="AY61" s="90"/>
    </row>
    <row r="62" spans="1:51">
      <c r="A62" s="84"/>
      <c r="B62" s="85"/>
      <c r="C62" s="86"/>
      <c r="D62" s="86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8"/>
      <c r="V62" s="87"/>
      <c r="W62" s="87"/>
      <c r="X62" s="87"/>
      <c r="Y62" s="87"/>
      <c r="Z62" s="87"/>
      <c r="AA62" s="89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90"/>
      <c r="AS62" s="90"/>
      <c r="AT62" s="90"/>
      <c r="AU62" s="90"/>
      <c r="AV62" s="90"/>
      <c r="AW62" s="90"/>
      <c r="AX62" s="91"/>
      <c r="AY62" s="90"/>
    </row>
    <row r="63" spans="1:51">
      <c r="A63" s="84"/>
      <c r="B63" s="85"/>
      <c r="C63" s="86"/>
      <c r="D63" s="86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8"/>
      <c r="V63" s="87"/>
      <c r="W63" s="87"/>
      <c r="X63" s="87"/>
      <c r="Y63" s="87"/>
      <c r="Z63" s="87"/>
      <c r="AA63" s="89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90"/>
      <c r="AS63" s="90"/>
      <c r="AT63" s="90"/>
      <c r="AU63" s="90"/>
      <c r="AV63" s="90"/>
      <c r="AW63" s="90"/>
      <c r="AX63" s="91"/>
      <c r="AY63" s="90"/>
    </row>
    <row r="64" spans="1:51">
      <c r="A64" s="84"/>
      <c r="B64" s="85"/>
      <c r="C64" s="86"/>
      <c r="D64" s="86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8"/>
      <c r="V64" s="87"/>
      <c r="W64" s="87"/>
      <c r="X64" s="87"/>
      <c r="Y64" s="87"/>
      <c r="Z64" s="87"/>
      <c r="AA64" s="89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90"/>
      <c r="AS64" s="90"/>
      <c r="AT64" s="90"/>
      <c r="AU64" s="90"/>
      <c r="AV64" s="90"/>
      <c r="AW64" s="90"/>
      <c r="AX64" s="91"/>
      <c r="AY64" s="90"/>
    </row>
    <row r="65" spans="1:51">
      <c r="A65" s="84"/>
      <c r="B65" s="85"/>
      <c r="C65" s="86"/>
      <c r="D65" s="86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8"/>
      <c r="V65" s="87"/>
      <c r="W65" s="87"/>
      <c r="X65" s="87"/>
      <c r="Y65" s="87"/>
      <c r="Z65" s="87"/>
      <c r="AA65" s="89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90"/>
      <c r="AS65" s="90"/>
      <c r="AT65" s="90"/>
      <c r="AU65" s="90"/>
      <c r="AV65" s="90"/>
      <c r="AW65" s="90"/>
      <c r="AX65" s="91"/>
      <c r="AY65" s="90"/>
    </row>
    <row r="66" spans="1:51">
      <c r="A66" s="84"/>
      <c r="B66" s="85"/>
      <c r="C66" s="86"/>
      <c r="D66" s="86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8"/>
      <c r="V66" s="87"/>
      <c r="W66" s="87"/>
      <c r="X66" s="87"/>
      <c r="Y66" s="87"/>
      <c r="Z66" s="87"/>
      <c r="AA66" s="89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90"/>
      <c r="AS66" s="90"/>
      <c r="AT66" s="90"/>
      <c r="AU66" s="90"/>
      <c r="AV66" s="90"/>
      <c r="AW66" s="90"/>
      <c r="AX66" s="91"/>
      <c r="AY66" s="90"/>
    </row>
    <row r="67" spans="1:51">
      <c r="A67" s="84"/>
      <c r="B67" s="85"/>
      <c r="C67" s="86"/>
      <c r="D67" s="86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8"/>
      <c r="V67" s="87"/>
      <c r="W67" s="87"/>
      <c r="X67" s="87"/>
      <c r="Y67" s="87"/>
      <c r="Z67" s="87"/>
      <c r="AA67" s="89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90"/>
      <c r="AS67" s="90"/>
      <c r="AT67" s="90"/>
      <c r="AU67" s="90"/>
      <c r="AV67" s="90"/>
      <c r="AW67" s="90"/>
      <c r="AX67" s="91"/>
      <c r="AY67" s="90"/>
    </row>
    <row r="68" spans="1:51">
      <c r="A68" s="84"/>
      <c r="B68" s="85"/>
      <c r="C68" s="86"/>
      <c r="D68" s="86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8"/>
      <c r="V68" s="87"/>
      <c r="W68" s="87"/>
      <c r="X68" s="87"/>
      <c r="Y68" s="87"/>
      <c r="Z68" s="87"/>
      <c r="AA68" s="89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90"/>
      <c r="AS68" s="90"/>
      <c r="AT68" s="90"/>
      <c r="AU68" s="90"/>
      <c r="AV68" s="90"/>
      <c r="AW68" s="90"/>
      <c r="AX68" s="91"/>
      <c r="AY68" s="90"/>
    </row>
    <row r="69" spans="1:51">
      <c r="A69" s="84"/>
      <c r="B69" s="85"/>
      <c r="C69" s="86"/>
      <c r="D69" s="86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8"/>
      <c r="V69" s="87"/>
      <c r="W69" s="87"/>
      <c r="X69" s="87"/>
      <c r="Y69" s="87"/>
      <c r="Z69" s="87"/>
      <c r="AA69" s="89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90"/>
      <c r="AS69" s="90"/>
      <c r="AT69" s="90"/>
      <c r="AU69" s="90"/>
      <c r="AV69" s="90"/>
      <c r="AW69" s="90"/>
      <c r="AX69" s="91"/>
      <c r="AY69" s="90"/>
    </row>
    <row r="70" spans="1:51">
      <c r="A70" s="84"/>
      <c r="B70" s="85"/>
      <c r="C70" s="86"/>
      <c r="D70" s="86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8"/>
      <c r="V70" s="87"/>
      <c r="W70" s="87"/>
      <c r="X70" s="87"/>
      <c r="Y70" s="87"/>
      <c r="Z70" s="87"/>
      <c r="AA70" s="89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90"/>
      <c r="AS70" s="90"/>
      <c r="AT70" s="90"/>
      <c r="AU70" s="90"/>
      <c r="AV70" s="90"/>
      <c r="AW70" s="90"/>
      <c r="AX70" s="91"/>
      <c r="AY70" s="90"/>
    </row>
    <row r="71" spans="1:51">
      <c r="A71" s="84"/>
      <c r="B71" s="85"/>
      <c r="C71" s="86"/>
      <c r="D71" s="86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8"/>
      <c r="V71" s="87"/>
      <c r="W71" s="87"/>
      <c r="X71" s="87"/>
      <c r="Y71" s="87"/>
      <c r="Z71" s="87"/>
      <c r="AA71" s="89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90"/>
      <c r="AS71" s="90"/>
      <c r="AT71" s="90"/>
      <c r="AU71" s="90"/>
      <c r="AV71" s="90"/>
      <c r="AW71" s="90"/>
      <c r="AX71" s="91"/>
      <c r="AY71" s="90"/>
    </row>
    <row r="72" spans="1:51">
      <c r="A72" s="84"/>
      <c r="B72" s="85"/>
      <c r="C72" s="86"/>
      <c r="D72" s="86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8"/>
      <c r="V72" s="87"/>
      <c r="W72" s="87"/>
      <c r="X72" s="87"/>
      <c r="Y72" s="87"/>
      <c r="Z72" s="87"/>
      <c r="AA72" s="89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90"/>
      <c r="AS72" s="90"/>
      <c r="AT72" s="90"/>
      <c r="AU72" s="90"/>
      <c r="AV72" s="90"/>
      <c r="AW72" s="90"/>
      <c r="AX72" s="91"/>
      <c r="AY72" s="90"/>
    </row>
    <row r="73" spans="1:51">
      <c r="A73" s="84"/>
      <c r="B73" s="85"/>
      <c r="C73" s="86"/>
      <c r="D73" s="86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8"/>
      <c r="V73" s="87"/>
      <c r="W73" s="87"/>
      <c r="X73" s="87"/>
      <c r="Y73" s="87"/>
      <c r="Z73" s="87"/>
      <c r="AA73" s="89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90"/>
      <c r="AS73" s="90"/>
      <c r="AT73" s="90"/>
      <c r="AU73" s="90"/>
      <c r="AV73" s="90"/>
      <c r="AW73" s="90"/>
      <c r="AX73" s="91"/>
      <c r="AY73" s="90"/>
    </row>
    <row r="74" spans="1:51">
      <c r="A74" s="84"/>
      <c r="B74" s="85"/>
      <c r="C74" s="86"/>
      <c r="D74" s="86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8"/>
      <c r="V74" s="87"/>
      <c r="W74" s="87"/>
      <c r="X74" s="87"/>
      <c r="Y74" s="87"/>
      <c r="Z74" s="87"/>
      <c r="AA74" s="89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90"/>
      <c r="AS74" s="90"/>
      <c r="AT74" s="90"/>
      <c r="AU74" s="90"/>
      <c r="AV74" s="90"/>
      <c r="AW74" s="90"/>
      <c r="AX74" s="91"/>
      <c r="AY74" s="90"/>
    </row>
    <row r="75" spans="1:51">
      <c r="A75" s="84"/>
      <c r="B75" s="85"/>
      <c r="C75" s="86"/>
      <c r="D75" s="86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8"/>
      <c r="V75" s="87"/>
      <c r="W75" s="87"/>
      <c r="X75" s="87"/>
      <c r="Y75" s="87"/>
      <c r="Z75" s="87"/>
      <c r="AA75" s="89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90"/>
      <c r="AS75" s="90"/>
      <c r="AT75" s="90"/>
      <c r="AU75" s="90"/>
      <c r="AV75" s="90"/>
      <c r="AW75" s="90"/>
      <c r="AX75" s="91"/>
      <c r="AY75" s="90"/>
    </row>
    <row r="76" spans="1:51">
      <c r="A76" s="84"/>
      <c r="B76" s="85"/>
      <c r="C76" s="86"/>
      <c r="D76" s="86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8"/>
      <c r="V76" s="87"/>
      <c r="W76" s="87"/>
      <c r="X76" s="87"/>
      <c r="Y76" s="87"/>
      <c r="Z76" s="87"/>
      <c r="AA76" s="89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90"/>
      <c r="AS76" s="90"/>
      <c r="AT76" s="90"/>
      <c r="AU76" s="90"/>
      <c r="AV76" s="90"/>
      <c r="AW76" s="90"/>
      <c r="AX76" s="91"/>
      <c r="AY76" s="90"/>
    </row>
    <row r="77" spans="1:51">
      <c r="A77" s="84"/>
      <c r="B77" s="85"/>
      <c r="C77" s="86"/>
      <c r="D77" s="86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8"/>
      <c r="V77" s="87"/>
      <c r="W77" s="87"/>
      <c r="X77" s="87"/>
      <c r="Y77" s="87"/>
      <c r="Z77" s="87"/>
      <c r="AA77" s="89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90"/>
      <c r="AS77" s="90"/>
      <c r="AT77" s="90"/>
      <c r="AU77" s="90"/>
      <c r="AV77" s="90"/>
      <c r="AW77" s="90"/>
      <c r="AX77" s="91"/>
      <c r="AY77" s="90"/>
    </row>
    <row r="78" spans="1:51">
      <c r="A78" s="84"/>
      <c r="B78" s="85"/>
      <c r="C78" s="86"/>
      <c r="D78" s="86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8"/>
      <c r="V78" s="87"/>
      <c r="W78" s="87"/>
      <c r="X78" s="87"/>
      <c r="Y78" s="87"/>
      <c r="Z78" s="87"/>
      <c r="AA78" s="89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90"/>
      <c r="AS78" s="90"/>
      <c r="AT78" s="90"/>
      <c r="AU78" s="90"/>
      <c r="AV78" s="90"/>
      <c r="AW78" s="90"/>
      <c r="AX78" s="91"/>
      <c r="AY78" s="90"/>
    </row>
    <row r="79" spans="1:51">
      <c r="A79" s="84"/>
      <c r="B79" s="85"/>
      <c r="C79" s="86"/>
      <c r="D79" s="86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8"/>
      <c r="V79" s="87"/>
      <c r="W79" s="87"/>
      <c r="X79" s="87"/>
      <c r="Y79" s="87"/>
      <c r="Z79" s="87"/>
      <c r="AA79" s="89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90"/>
      <c r="AS79" s="90"/>
      <c r="AT79" s="90"/>
      <c r="AU79" s="90"/>
      <c r="AV79" s="90"/>
      <c r="AW79" s="90"/>
      <c r="AX79" s="91"/>
      <c r="AY79" s="90"/>
    </row>
    <row r="80" spans="1:51">
      <c r="A80" s="84"/>
      <c r="B80" s="85"/>
      <c r="C80" s="86"/>
      <c r="D80" s="86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8"/>
      <c r="V80" s="87"/>
      <c r="W80" s="87"/>
      <c r="X80" s="87"/>
      <c r="Y80" s="87"/>
      <c r="Z80" s="87"/>
      <c r="AA80" s="89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90"/>
      <c r="AS80" s="90"/>
      <c r="AT80" s="90"/>
      <c r="AU80" s="90"/>
      <c r="AV80" s="90"/>
      <c r="AW80" s="90"/>
      <c r="AX80" s="91"/>
      <c r="AY80" s="90"/>
    </row>
    <row r="81" spans="1:51">
      <c r="A81" s="84"/>
      <c r="B81" s="85"/>
      <c r="C81" s="86"/>
      <c r="D81" s="86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8"/>
      <c r="V81" s="87"/>
      <c r="W81" s="87"/>
      <c r="X81" s="87"/>
      <c r="Y81" s="87"/>
      <c r="Z81" s="87"/>
      <c r="AA81" s="89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90"/>
      <c r="AS81" s="90"/>
      <c r="AT81" s="90"/>
      <c r="AU81" s="90"/>
      <c r="AV81" s="90"/>
      <c r="AW81" s="90"/>
      <c r="AX81" s="91"/>
      <c r="AY81" s="90"/>
    </row>
    <row r="82" spans="1:51">
      <c r="A82" s="84"/>
      <c r="B82" s="85"/>
      <c r="C82" s="86"/>
      <c r="D82" s="86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8"/>
      <c r="V82" s="87"/>
      <c r="W82" s="87"/>
      <c r="X82" s="87"/>
      <c r="Y82" s="87"/>
      <c r="Z82" s="87"/>
      <c r="AA82" s="89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90"/>
      <c r="AS82" s="90"/>
      <c r="AT82" s="90"/>
      <c r="AU82" s="90"/>
      <c r="AV82" s="90"/>
      <c r="AW82" s="90"/>
      <c r="AX82" s="91"/>
      <c r="AY82" s="90"/>
    </row>
    <row r="83" spans="1:51">
      <c r="A83" s="84"/>
      <c r="B83" s="85"/>
      <c r="C83" s="86"/>
      <c r="D83" s="86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8"/>
      <c r="V83" s="87"/>
      <c r="W83" s="87"/>
      <c r="X83" s="87"/>
      <c r="Y83" s="87"/>
      <c r="Z83" s="87"/>
      <c r="AA83" s="89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90"/>
      <c r="AS83" s="90"/>
      <c r="AT83" s="90"/>
      <c r="AU83" s="90"/>
      <c r="AV83" s="90"/>
      <c r="AW83" s="90"/>
      <c r="AX83" s="91"/>
      <c r="AY83" s="90"/>
    </row>
    <row r="84" spans="1:51">
      <c r="A84" s="84"/>
      <c r="B84" s="85"/>
      <c r="C84" s="86"/>
      <c r="D84" s="86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8"/>
      <c r="V84" s="87"/>
      <c r="W84" s="87"/>
      <c r="X84" s="87"/>
      <c r="Y84" s="87"/>
      <c r="Z84" s="87"/>
      <c r="AA84" s="89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90"/>
      <c r="AS84" s="90"/>
      <c r="AT84" s="90"/>
      <c r="AU84" s="90"/>
      <c r="AV84" s="90"/>
      <c r="AW84" s="90"/>
      <c r="AX84" s="91"/>
      <c r="AY84" s="90"/>
    </row>
    <row r="85" spans="1:51">
      <c r="A85" s="84"/>
      <c r="B85" s="85"/>
      <c r="C85" s="86"/>
      <c r="D85" s="86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8"/>
      <c r="V85" s="87"/>
      <c r="W85" s="87"/>
      <c r="X85" s="87"/>
      <c r="Y85" s="87"/>
      <c r="Z85" s="87"/>
      <c r="AA85" s="89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90"/>
      <c r="AS85" s="90"/>
      <c r="AT85" s="90"/>
      <c r="AU85" s="90"/>
      <c r="AV85" s="90"/>
      <c r="AW85" s="90"/>
      <c r="AX85" s="91"/>
      <c r="AY85" s="90"/>
    </row>
    <row r="86" spans="1:51">
      <c r="A86" s="84"/>
      <c r="B86" s="85"/>
      <c r="C86" s="86"/>
      <c r="D86" s="86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8"/>
      <c r="V86" s="87"/>
      <c r="W86" s="87"/>
      <c r="X86" s="87"/>
      <c r="Y86" s="87"/>
      <c r="Z86" s="87"/>
      <c r="AA86" s="89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90"/>
      <c r="AS86" s="90"/>
      <c r="AT86" s="90"/>
      <c r="AU86" s="90"/>
      <c r="AV86" s="90"/>
      <c r="AW86" s="90"/>
      <c r="AX86" s="91"/>
      <c r="AY86" s="90"/>
    </row>
    <row r="87" spans="1:51">
      <c r="A87" s="84"/>
      <c r="B87" s="85"/>
      <c r="C87" s="86"/>
      <c r="D87" s="86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8"/>
      <c r="V87" s="87"/>
      <c r="W87" s="87"/>
      <c r="X87" s="87"/>
      <c r="Y87" s="87"/>
      <c r="Z87" s="87"/>
      <c r="AA87" s="89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90"/>
      <c r="AS87" s="90"/>
      <c r="AT87" s="90"/>
      <c r="AU87" s="90"/>
      <c r="AV87" s="90"/>
      <c r="AW87" s="90"/>
      <c r="AX87" s="91"/>
      <c r="AY87" s="90"/>
    </row>
    <row r="88" spans="1:51">
      <c r="A88" s="84"/>
      <c r="B88" s="85"/>
      <c r="C88" s="86"/>
      <c r="D88" s="86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8"/>
      <c r="V88" s="87"/>
      <c r="W88" s="87"/>
      <c r="X88" s="87"/>
      <c r="Y88" s="87"/>
      <c r="Z88" s="87"/>
      <c r="AA88" s="89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90"/>
      <c r="AS88" s="90"/>
      <c r="AT88" s="90"/>
      <c r="AU88" s="90"/>
      <c r="AV88" s="90"/>
      <c r="AW88" s="90"/>
      <c r="AX88" s="91"/>
      <c r="AY88" s="90"/>
    </row>
    <row r="89" spans="1:51">
      <c r="A89" s="84"/>
      <c r="B89" s="85"/>
      <c r="C89" s="86"/>
      <c r="D89" s="86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8"/>
      <c r="V89" s="87"/>
      <c r="W89" s="87"/>
      <c r="X89" s="87"/>
      <c r="Y89" s="87"/>
      <c r="Z89" s="87"/>
      <c r="AA89" s="89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90"/>
      <c r="AS89" s="90"/>
      <c r="AT89" s="90"/>
      <c r="AU89" s="90"/>
      <c r="AV89" s="90"/>
      <c r="AW89" s="90"/>
      <c r="AX89" s="91"/>
      <c r="AY89" s="90"/>
    </row>
    <row r="90" spans="1:51">
      <c r="A90" s="84"/>
      <c r="B90" s="85"/>
      <c r="C90" s="86"/>
      <c r="D90" s="86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8"/>
      <c r="V90" s="87"/>
      <c r="W90" s="87"/>
      <c r="X90" s="87"/>
      <c r="Y90" s="87"/>
      <c r="Z90" s="87"/>
      <c r="AA90" s="89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90"/>
      <c r="AS90" s="90"/>
      <c r="AT90" s="90"/>
      <c r="AU90" s="90"/>
      <c r="AV90" s="90"/>
      <c r="AW90" s="90"/>
      <c r="AX90" s="91"/>
      <c r="AY90" s="90"/>
    </row>
    <row r="91" spans="1:51">
      <c r="A91" s="84"/>
      <c r="B91" s="85"/>
      <c r="C91" s="86"/>
      <c r="D91" s="86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8"/>
      <c r="V91" s="87"/>
      <c r="W91" s="87"/>
      <c r="X91" s="87"/>
      <c r="Y91" s="87"/>
      <c r="Z91" s="87"/>
      <c r="AA91" s="89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90"/>
      <c r="AS91" s="90"/>
      <c r="AT91" s="90"/>
      <c r="AU91" s="90"/>
      <c r="AV91" s="90"/>
      <c r="AW91" s="90"/>
      <c r="AX91" s="91"/>
      <c r="AY91" s="90"/>
    </row>
    <row r="92" spans="1:51">
      <c r="A92" s="84"/>
      <c r="B92" s="85"/>
      <c r="C92" s="86"/>
      <c r="D92" s="86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8"/>
      <c r="V92" s="87"/>
      <c r="W92" s="87"/>
      <c r="X92" s="87"/>
      <c r="Y92" s="87"/>
      <c r="Z92" s="87"/>
      <c r="AA92" s="89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90"/>
      <c r="AS92" s="90"/>
      <c r="AT92" s="90"/>
      <c r="AU92" s="90"/>
      <c r="AV92" s="90"/>
      <c r="AW92" s="90"/>
      <c r="AX92" s="91"/>
      <c r="AY92" s="90"/>
    </row>
    <row r="93" spans="1:51">
      <c r="A93" s="84"/>
      <c r="B93" s="85"/>
      <c r="C93" s="86"/>
      <c r="D93" s="86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8"/>
      <c r="V93" s="87"/>
      <c r="W93" s="87"/>
      <c r="X93" s="87"/>
      <c r="Y93" s="87"/>
      <c r="Z93" s="87"/>
      <c r="AA93" s="89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90"/>
      <c r="AS93" s="90"/>
      <c r="AT93" s="90"/>
      <c r="AU93" s="90"/>
      <c r="AV93" s="90"/>
      <c r="AW93" s="90"/>
      <c r="AX93" s="91"/>
      <c r="AY93" s="90"/>
    </row>
    <row r="94" spans="1:51">
      <c r="A94" s="84"/>
      <c r="B94" s="85"/>
      <c r="C94" s="86"/>
      <c r="D94" s="86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8"/>
      <c r="V94" s="87"/>
      <c r="W94" s="87"/>
      <c r="X94" s="87"/>
      <c r="Y94" s="87"/>
      <c r="Z94" s="87"/>
      <c r="AA94" s="89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90"/>
      <c r="AS94" s="90"/>
      <c r="AT94" s="90"/>
      <c r="AU94" s="90"/>
      <c r="AV94" s="90"/>
      <c r="AW94" s="90"/>
      <c r="AX94" s="91"/>
      <c r="AY94" s="90"/>
    </row>
    <row r="95" spans="1:51">
      <c r="A95" s="84"/>
      <c r="B95" s="85"/>
      <c r="C95" s="86"/>
      <c r="D95" s="86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8"/>
      <c r="V95" s="87"/>
      <c r="W95" s="87"/>
      <c r="X95" s="87"/>
      <c r="Y95" s="87"/>
      <c r="Z95" s="87"/>
      <c r="AA95" s="89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90"/>
      <c r="AS95" s="90"/>
      <c r="AT95" s="90"/>
      <c r="AU95" s="90"/>
      <c r="AV95" s="90"/>
      <c r="AW95" s="90"/>
      <c r="AX95" s="91"/>
      <c r="AY95" s="90"/>
    </row>
    <row r="96" spans="1:51">
      <c r="A96" s="84"/>
      <c r="B96" s="85"/>
      <c r="C96" s="86"/>
      <c r="D96" s="86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8"/>
      <c r="V96" s="87"/>
      <c r="W96" s="87"/>
      <c r="X96" s="87"/>
      <c r="Y96" s="87"/>
      <c r="Z96" s="87"/>
      <c r="AA96" s="89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90"/>
      <c r="AS96" s="90"/>
      <c r="AT96" s="90"/>
      <c r="AU96" s="90"/>
      <c r="AV96" s="90"/>
      <c r="AW96" s="90"/>
      <c r="AX96" s="91"/>
      <c r="AY96" s="90"/>
    </row>
    <row r="97" spans="1:51">
      <c r="A97" s="84"/>
      <c r="B97" s="85"/>
      <c r="C97" s="86"/>
      <c r="D97" s="86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8"/>
      <c r="V97" s="87"/>
      <c r="W97" s="87"/>
      <c r="X97" s="87"/>
      <c r="Y97" s="87"/>
      <c r="Z97" s="87"/>
      <c r="AA97" s="89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90"/>
      <c r="AS97" s="90"/>
      <c r="AT97" s="90"/>
      <c r="AU97" s="90"/>
      <c r="AV97" s="90"/>
      <c r="AW97" s="90"/>
      <c r="AX97" s="91"/>
      <c r="AY97" s="90"/>
    </row>
    <row r="98" spans="1:51">
      <c r="A98" s="84"/>
      <c r="B98" s="85"/>
      <c r="C98" s="86"/>
      <c r="D98" s="86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8"/>
      <c r="V98" s="87"/>
      <c r="W98" s="87"/>
      <c r="X98" s="87"/>
      <c r="Y98" s="87"/>
      <c r="Z98" s="87"/>
      <c r="AA98" s="89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90"/>
      <c r="AS98" s="90"/>
      <c r="AT98" s="90"/>
      <c r="AU98" s="90"/>
      <c r="AV98" s="90"/>
      <c r="AW98" s="90"/>
      <c r="AX98" s="91"/>
      <c r="AY98" s="90"/>
    </row>
    <row r="99" spans="1:51">
      <c r="A99" s="84"/>
      <c r="B99" s="85"/>
      <c r="C99" s="86"/>
      <c r="D99" s="86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8"/>
      <c r="V99" s="87"/>
      <c r="W99" s="87"/>
      <c r="X99" s="87"/>
      <c r="Y99" s="87"/>
      <c r="Z99" s="87"/>
      <c r="AA99" s="89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90"/>
      <c r="AS99" s="90"/>
      <c r="AT99" s="90"/>
      <c r="AU99" s="90"/>
      <c r="AV99" s="90"/>
      <c r="AW99" s="90"/>
      <c r="AX99" s="91"/>
      <c r="AY99" s="90"/>
    </row>
    <row r="100" spans="1:51">
      <c r="A100" s="84"/>
      <c r="B100" s="85"/>
      <c r="C100" s="86"/>
      <c r="D100" s="86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8"/>
      <c r="V100" s="87"/>
      <c r="W100" s="87"/>
      <c r="X100" s="87"/>
      <c r="Y100" s="87"/>
      <c r="Z100" s="87"/>
      <c r="AA100" s="89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90"/>
      <c r="AS100" s="90"/>
      <c r="AT100" s="90"/>
      <c r="AU100" s="90"/>
      <c r="AV100" s="90"/>
      <c r="AW100" s="90"/>
      <c r="AX100" s="91"/>
      <c r="AY100" s="90"/>
    </row>
    <row r="101" spans="1:51">
      <c r="A101" s="84"/>
      <c r="B101" s="85"/>
      <c r="C101" s="86"/>
      <c r="D101" s="86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8"/>
      <c r="V101" s="87"/>
      <c r="W101" s="87"/>
      <c r="X101" s="87"/>
      <c r="Y101" s="87"/>
      <c r="Z101" s="87"/>
      <c r="AA101" s="89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90"/>
      <c r="AS101" s="90"/>
      <c r="AT101" s="90"/>
      <c r="AU101" s="90"/>
      <c r="AV101" s="90"/>
      <c r="AW101" s="90"/>
      <c r="AX101" s="91"/>
      <c r="AY101" s="90"/>
    </row>
    <row r="102" spans="1:51">
      <c r="A102" s="84"/>
      <c r="B102" s="85"/>
      <c r="C102" s="86"/>
      <c r="D102" s="86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8"/>
      <c r="V102" s="87"/>
      <c r="W102" s="87"/>
      <c r="X102" s="87"/>
      <c r="Y102" s="87"/>
      <c r="Z102" s="87"/>
      <c r="AA102" s="89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90"/>
      <c r="AS102" s="90"/>
      <c r="AT102" s="90"/>
      <c r="AU102" s="90"/>
      <c r="AV102" s="90"/>
      <c r="AW102" s="90"/>
      <c r="AX102" s="91"/>
      <c r="AY102" s="90"/>
    </row>
    <row r="103" spans="1:51">
      <c r="A103" s="84"/>
      <c r="B103" s="85"/>
      <c r="C103" s="86"/>
      <c r="D103" s="86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8"/>
      <c r="V103" s="87"/>
      <c r="W103" s="87"/>
      <c r="X103" s="87"/>
      <c r="Y103" s="87"/>
      <c r="Z103" s="87"/>
      <c r="AA103" s="89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90"/>
      <c r="AS103" s="90"/>
      <c r="AT103" s="90"/>
      <c r="AU103" s="90"/>
      <c r="AV103" s="90"/>
      <c r="AW103" s="90"/>
      <c r="AX103" s="91"/>
      <c r="AY103" s="90"/>
    </row>
    <row r="104" spans="1:51">
      <c r="A104" s="84"/>
      <c r="B104" s="85"/>
      <c r="C104" s="86"/>
      <c r="D104" s="86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8"/>
      <c r="V104" s="87"/>
      <c r="W104" s="87"/>
      <c r="X104" s="87"/>
      <c r="Y104" s="87"/>
      <c r="Z104" s="87"/>
      <c r="AA104" s="89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90"/>
      <c r="AS104" s="90"/>
      <c r="AT104" s="90"/>
      <c r="AU104" s="90"/>
      <c r="AV104" s="90"/>
      <c r="AW104" s="90"/>
      <c r="AX104" s="91"/>
      <c r="AY104" s="90"/>
    </row>
    <row r="105" spans="1:51">
      <c r="A105" s="84"/>
      <c r="B105" s="85"/>
      <c r="C105" s="86"/>
      <c r="D105" s="86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8"/>
      <c r="V105" s="87"/>
      <c r="W105" s="87"/>
      <c r="X105" s="87"/>
      <c r="Y105" s="87"/>
      <c r="Z105" s="87"/>
      <c r="AA105" s="89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90"/>
      <c r="AS105" s="90"/>
      <c r="AT105" s="90"/>
      <c r="AU105" s="90"/>
      <c r="AV105" s="90"/>
      <c r="AW105" s="90"/>
      <c r="AX105" s="91"/>
      <c r="AY105" s="90"/>
    </row>
    <row r="106" spans="1:51">
      <c r="A106" s="84"/>
      <c r="B106" s="85"/>
      <c r="C106" s="86"/>
      <c r="D106" s="86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8"/>
      <c r="V106" s="87"/>
      <c r="W106" s="87"/>
      <c r="X106" s="87"/>
      <c r="Y106" s="87"/>
      <c r="Z106" s="87"/>
      <c r="AA106" s="89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90"/>
      <c r="AS106" s="90"/>
      <c r="AT106" s="90"/>
      <c r="AU106" s="90"/>
      <c r="AV106" s="90"/>
      <c r="AW106" s="90"/>
      <c r="AX106" s="91"/>
      <c r="AY106" s="90"/>
    </row>
    <row r="107" spans="1:51">
      <c r="A107" s="84"/>
      <c r="B107" s="85"/>
      <c r="C107" s="86"/>
      <c r="D107" s="86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8"/>
      <c r="V107" s="87"/>
      <c r="W107" s="87"/>
      <c r="X107" s="87"/>
      <c r="Y107" s="87"/>
      <c r="Z107" s="87"/>
      <c r="AA107" s="89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90"/>
      <c r="AS107" s="90"/>
      <c r="AT107" s="90"/>
      <c r="AU107" s="90"/>
      <c r="AV107" s="90"/>
      <c r="AW107" s="90"/>
      <c r="AX107" s="91"/>
      <c r="AY107" s="90"/>
    </row>
    <row r="108" spans="1:51">
      <c r="A108" s="84"/>
      <c r="B108" s="85"/>
      <c r="C108" s="86"/>
      <c r="D108" s="86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8"/>
      <c r="V108" s="87"/>
      <c r="W108" s="87"/>
      <c r="X108" s="87"/>
      <c r="Y108" s="87"/>
      <c r="Z108" s="87"/>
      <c r="AA108" s="89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90"/>
      <c r="AS108" s="90"/>
      <c r="AT108" s="90"/>
      <c r="AU108" s="90"/>
      <c r="AV108" s="90"/>
      <c r="AW108" s="90"/>
      <c r="AX108" s="91"/>
      <c r="AY108" s="90"/>
    </row>
    <row r="109" spans="1:51">
      <c r="A109" s="84"/>
      <c r="B109" s="85"/>
      <c r="C109" s="86"/>
      <c r="D109" s="86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8"/>
      <c r="V109" s="87"/>
      <c r="W109" s="87"/>
      <c r="X109" s="87"/>
      <c r="Y109" s="87"/>
      <c r="Z109" s="87"/>
      <c r="AA109" s="89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90"/>
      <c r="AS109" s="90"/>
      <c r="AT109" s="90"/>
      <c r="AU109" s="90"/>
      <c r="AV109" s="90"/>
      <c r="AW109" s="90"/>
      <c r="AX109" s="91"/>
      <c r="AY109" s="90"/>
    </row>
    <row r="110" spans="1:51">
      <c r="A110" s="84"/>
      <c r="B110" s="85"/>
      <c r="C110" s="86"/>
      <c r="D110" s="86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8"/>
      <c r="V110" s="87"/>
      <c r="W110" s="87"/>
      <c r="X110" s="87"/>
      <c r="Y110" s="87"/>
      <c r="Z110" s="87"/>
      <c r="AA110" s="89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90"/>
      <c r="AS110" s="90"/>
      <c r="AT110" s="90"/>
      <c r="AU110" s="90"/>
      <c r="AV110" s="90"/>
      <c r="AW110" s="90"/>
      <c r="AX110" s="91"/>
      <c r="AY110" s="90"/>
    </row>
    <row r="111" spans="1:51">
      <c r="A111" s="84"/>
      <c r="B111" s="85"/>
      <c r="C111" s="86"/>
      <c r="D111" s="86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8"/>
      <c r="V111" s="87"/>
      <c r="W111" s="87"/>
      <c r="X111" s="87"/>
      <c r="Y111" s="87"/>
      <c r="Z111" s="87"/>
      <c r="AA111" s="89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90"/>
      <c r="AS111" s="90"/>
      <c r="AT111" s="90"/>
      <c r="AU111" s="90"/>
      <c r="AV111" s="90"/>
      <c r="AW111" s="90"/>
      <c r="AX111" s="91"/>
      <c r="AY111" s="90"/>
    </row>
    <row r="112" spans="1:51">
      <c r="A112" s="84"/>
      <c r="B112" s="85"/>
      <c r="C112" s="86"/>
      <c r="D112" s="86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8"/>
      <c r="V112" s="87"/>
      <c r="W112" s="87"/>
      <c r="X112" s="87"/>
      <c r="Y112" s="87"/>
      <c r="Z112" s="87"/>
      <c r="AA112" s="89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90"/>
      <c r="AS112" s="90"/>
      <c r="AT112" s="90"/>
      <c r="AU112" s="90"/>
      <c r="AV112" s="90"/>
      <c r="AW112" s="90"/>
      <c r="AX112" s="91"/>
      <c r="AY112" s="90"/>
    </row>
    <row r="113" spans="1:51">
      <c r="A113" s="84"/>
      <c r="B113" s="85"/>
      <c r="C113" s="86"/>
      <c r="D113" s="86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8"/>
      <c r="V113" s="87"/>
      <c r="W113" s="87"/>
      <c r="X113" s="87"/>
      <c r="Y113" s="87"/>
      <c r="Z113" s="87"/>
      <c r="AA113" s="89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90"/>
      <c r="AS113" s="90"/>
      <c r="AT113" s="90"/>
      <c r="AU113" s="90"/>
      <c r="AV113" s="90"/>
      <c r="AW113" s="90"/>
      <c r="AX113" s="91"/>
      <c r="AY113" s="90"/>
    </row>
    <row r="114" spans="1:51">
      <c r="A114" s="84"/>
      <c r="B114" s="85"/>
      <c r="C114" s="86"/>
      <c r="D114" s="86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8"/>
      <c r="V114" s="87"/>
      <c r="W114" s="87"/>
      <c r="X114" s="87"/>
      <c r="Y114" s="87"/>
      <c r="Z114" s="87"/>
      <c r="AA114" s="89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90"/>
      <c r="AS114" s="90"/>
      <c r="AT114" s="90"/>
      <c r="AU114" s="90"/>
      <c r="AV114" s="90"/>
      <c r="AW114" s="90"/>
      <c r="AX114" s="91"/>
      <c r="AY114" s="90"/>
    </row>
    <row r="115" spans="1:51">
      <c r="A115" s="84"/>
      <c r="B115" s="85"/>
      <c r="C115" s="86"/>
      <c r="D115" s="86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8"/>
      <c r="V115" s="87"/>
      <c r="W115" s="87"/>
      <c r="X115" s="87"/>
      <c r="Y115" s="87"/>
      <c r="Z115" s="87"/>
      <c r="AA115" s="89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90"/>
      <c r="AS115" s="90"/>
      <c r="AT115" s="90"/>
      <c r="AU115" s="90"/>
      <c r="AV115" s="90"/>
      <c r="AW115" s="90"/>
      <c r="AX115" s="91"/>
      <c r="AY115" s="90"/>
    </row>
    <row r="116" spans="1:51">
      <c r="A116" s="84"/>
      <c r="B116" s="85"/>
      <c r="C116" s="86"/>
      <c r="D116" s="86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8"/>
      <c r="V116" s="87"/>
      <c r="W116" s="87"/>
      <c r="X116" s="87"/>
      <c r="Y116" s="87"/>
      <c r="Z116" s="87"/>
      <c r="AA116" s="89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90"/>
      <c r="AS116" s="90"/>
      <c r="AT116" s="90"/>
      <c r="AU116" s="90"/>
      <c r="AV116" s="90"/>
      <c r="AW116" s="90"/>
      <c r="AX116" s="91"/>
      <c r="AY116" s="90"/>
    </row>
    <row r="117" spans="1:51">
      <c r="A117" s="84"/>
      <c r="B117" s="85"/>
      <c r="C117" s="86"/>
      <c r="D117" s="86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8"/>
      <c r="V117" s="87"/>
      <c r="W117" s="87"/>
      <c r="X117" s="87"/>
      <c r="Y117" s="87"/>
      <c r="Z117" s="87"/>
      <c r="AA117" s="89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90"/>
      <c r="AS117" s="90"/>
      <c r="AT117" s="90"/>
      <c r="AU117" s="90"/>
      <c r="AV117" s="90"/>
      <c r="AW117" s="90"/>
      <c r="AX117" s="91"/>
      <c r="AY117" s="90"/>
    </row>
    <row r="118" spans="1:51">
      <c r="A118" s="84"/>
      <c r="B118" s="85"/>
      <c r="C118" s="86"/>
      <c r="D118" s="86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8"/>
      <c r="V118" s="87"/>
      <c r="W118" s="87"/>
      <c r="X118" s="87"/>
      <c r="Y118" s="87"/>
      <c r="Z118" s="87"/>
      <c r="AA118" s="89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90"/>
      <c r="AS118" s="90"/>
      <c r="AT118" s="90"/>
      <c r="AU118" s="90"/>
      <c r="AV118" s="90"/>
      <c r="AW118" s="90"/>
      <c r="AX118" s="91"/>
      <c r="AY118" s="90"/>
    </row>
    <row r="119" spans="1:51">
      <c r="A119" s="84"/>
      <c r="B119" s="85"/>
      <c r="C119" s="86"/>
      <c r="D119" s="86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8"/>
      <c r="V119" s="87"/>
      <c r="W119" s="87"/>
      <c r="X119" s="87"/>
      <c r="Y119" s="87"/>
      <c r="Z119" s="87"/>
      <c r="AA119" s="89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90"/>
      <c r="AS119" s="90"/>
      <c r="AT119" s="90"/>
      <c r="AU119" s="90"/>
      <c r="AV119" s="90"/>
      <c r="AW119" s="90"/>
      <c r="AX119" s="91"/>
      <c r="AY119" s="90"/>
    </row>
    <row r="120" spans="1:51">
      <c r="A120" s="84"/>
      <c r="B120" s="85"/>
      <c r="C120" s="86"/>
      <c r="D120" s="86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8"/>
      <c r="V120" s="87"/>
      <c r="W120" s="87"/>
      <c r="X120" s="87"/>
      <c r="Y120" s="87"/>
      <c r="Z120" s="87"/>
      <c r="AA120" s="89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90"/>
      <c r="AS120" s="90"/>
      <c r="AT120" s="90"/>
      <c r="AU120" s="90"/>
      <c r="AV120" s="90"/>
      <c r="AW120" s="90"/>
      <c r="AX120" s="91"/>
      <c r="AY120" s="90"/>
    </row>
    <row r="121" spans="1:51">
      <c r="A121" s="84"/>
      <c r="B121" s="85"/>
      <c r="C121" s="86"/>
      <c r="D121" s="86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8"/>
      <c r="V121" s="87"/>
      <c r="W121" s="87"/>
      <c r="X121" s="87"/>
      <c r="Y121" s="87"/>
      <c r="Z121" s="87"/>
      <c r="AA121" s="89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90"/>
      <c r="AS121" s="90"/>
      <c r="AT121" s="90"/>
      <c r="AU121" s="90"/>
      <c r="AV121" s="90"/>
      <c r="AW121" s="90"/>
      <c r="AX121" s="91"/>
      <c r="AY121" s="90"/>
    </row>
    <row r="122" spans="1:51">
      <c r="A122" s="84"/>
      <c r="B122" s="85"/>
      <c r="C122" s="86"/>
      <c r="D122" s="86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8"/>
      <c r="V122" s="87"/>
      <c r="W122" s="87"/>
      <c r="X122" s="87"/>
      <c r="Y122" s="87"/>
      <c r="Z122" s="87"/>
      <c r="AA122" s="89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90"/>
      <c r="AS122" s="90"/>
      <c r="AT122" s="90"/>
      <c r="AU122" s="90"/>
      <c r="AV122" s="90"/>
      <c r="AW122" s="90"/>
      <c r="AX122" s="91"/>
      <c r="AY122" s="90"/>
    </row>
    <row r="123" spans="1:51">
      <c r="A123" s="84"/>
      <c r="B123" s="85"/>
      <c r="C123" s="86"/>
      <c r="D123" s="86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8"/>
      <c r="V123" s="87"/>
      <c r="W123" s="87"/>
      <c r="X123" s="87"/>
      <c r="Y123" s="87"/>
      <c r="Z123" s="87"/>
      <c r="AA123" s="89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90"/>
      <c r="AS123" s="90"/>
      <c r="AT123" s="90"/>
      <c r="AU123" s="90"/>
      <c r="AV123" s="90"/>
      <c r="AW123" s="90"/>
      <c r="AX123" s="91"/>
      <c r="AY123" s="90"/>
    </row>
    <row r="124" spans="1:51">
      <c r="A124" s="84"/>
      <c r="B124" s="85"/>
      <c r="C124" s="86"/>
      <c r="D124" s="86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8"/>
      <c r="V124" s="87"/>
      <c r="W124" s="87"/>
      <c r="X124" s="87"/>
      <c r="Y124" s="87"/>
      <c r="Z124" s="87"/>
      <c r="AA124" s="89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90"/>
      <c r="AS124" s="90"/>
      <c r="AT124" s="90"/>
      <c r="AU124" s="90"/>
      <c r="AV124" s="90"/>
      <c r="AW124" s="90"/>
      <c r="AX124" s="91"/>
      <c r="AY124" s="90"/>
    </row>
    <row r="125" spans="1:51">
      <c r="A125" s="84"/>
      <c r="B125" s="85"/>
      <c r="C125" s="86"/>
      <c r="D125" s="86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8"/>
      <c r="V125" s="87"/>
      <c r="W125" s="87"/>
      <c r="X125" s="87"/>
      <c r="Y125" s="87"/>
      <c r="Z125" s="87"/>
      <c r="AA125" s="89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90"/>
      <c r="AS125" s="90"/>
      <c r="AT125" s="90"/>
      <c r="AU125" s="90"/>
      <c r="AV125" s="90"/>
      <c r="AW125" s="90"/>
      <c r="AX125" s="91"/>
      <c r="AY125" s="90"/>
    </row>
    <row r="126" spans="1:51">
      <c r="A126" s="84"/>
      <c r="B126" s="85"/>
      <c r="C126" s="86"/>
      <c r="D126" s="86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8"/>
      <c r="V126" s="87"/>
      <c r="W126" s="87"/>
      <c r="X126" s="87"/>
      <c r="Y126" s="87"/>
      <c r="Z126" s="87"/>
      <c r="AA126" s="89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90"/>
      <c r="AS126" s="90"/>
      <c r="AT126" s="90"/>
      <c r="AU126" s="90"/>
      <c r="AV126" s="90"/>
      <c r="AW126" s="90"/>
      <c r="AX126" s="91"/>
      <c r="AY126" s="90"/>
    </row>
    <row r="127" spans="1:51">
      <c r="A127" s="84"/>
      <c r="B127" s="85"/>
      <c r="C127" s="86"/>
      <c r="D127" s="86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8"/>
      <c r="V127" s="87"/>
      <c r="W127" s="87"/>
      <c r="X127" s="87"/>
      <c r="Y127" s="87"/>
      <c r="Z127" s="87"/>
      <c r="AA127" s="89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90"/>
      <c r="AS127" s="90"/>
      <c r="AT127" s="90"/>
      <c r="AU127" s="90"/>
      <c r="AV127" s="90"/>
      <c r="AW127" s="90"/>
      <c r="AX127" s="91"/>
      <c r="AY127" s="90"/>
    </row>
    <row r="128" spans="1:51">
      <c r="A128" s="84"/>
      <c r="B128" s="85"/>
      <c r="C128" s="86"/>
      <c r="D128" s="86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8"/>
      <c r="V128" s="87"/>
      <c r="W128" s="87"/>
      <c r="X128" s="87"/>
      <c r="Y128" s="87"/>
      <c r="Z128" s="87"/>
      <c r="AA128" s="89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90"/>
      <c r="AS128" s="90"/>
      <c r="AT128" s="90"/>
      <c r="AU128" s="90"/>
      <c r="AV128" s="90"/>
      <c r="AW128" s="90"/>
      <c r="AX128" s="91"/>
      <c r="AY128" s="90"/>
    </row>
    <row r="129" spans="1:51">
      <c r="A129" s="84"/>
      <c r="B129" s="85"/>
      <c r="C129" s="86"/>
      <c r="D129" s="86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8"/>
      <c r="V129" s="87"/>
      <c r="W129" s="87"/>
      <c r="X129" s="87"/>
      <c r="Y129" s="87"/>
      <c r="Z129" s="87"/>
      <c r="AA129" s="89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90"/>
      <c r="AS129" s="90"/>
      <c r="AT129" s="90"/>
      <c r="AU129" s="90"/>
      <c r="AV129" s="90"/>
      <c r="AW129" s="90"/>
      <c r="AX129" s="91"/>
      <c r="AY129" s="90"/>
    </row>
    <row r="130" spans="1:51">
      <c r="A130" s="84"/>
      <c r="B130" s="85"/>
      <c r="C130" s="86"/>
      <c r="D130" s="86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8"/>
      <c r="V130" s="87"/>
      <c r="W130" s="87"/>
      <c r="X130" s="87"/>
      <c r="Y130" s="87"/>
      <c r="Z130" s="87"/>
      <c r="AA130" s="89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90"/>
      <c r="AS130" s="90"/>
      <c r="AT130" s="90"/>
      <c r="AU130" s="90"/>
      <c r="AV130" s="90"/>
      <c r="AW130" s="90"/>
      <c r="AX130" s="91"/>
      <c r="AY130" s="90"/>
    </row>
    <row r="131" spans="1:51">
      <c r="A131" s="84"/>
      <c r="B131" s="85"/>
      <c r="C131" s="86"/>
      <c r="D131" s="86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8"/>
      <c r="V131" s="87"/>
      <c r="W131" s="87"/>
      <c r="X131" s="87"/>
      <c r="Y131" s="87"/>
      <c r="Z131" s="87"/>
      <c r="AA131" s="89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90"/>
      <c r="AS131" s="90"/>
      <c r="AT131" s="90"/>
      <c r="AU131" s="90"/>
      <c r="AV131" s="90"/>
      <c r="AW131" s="90"/>
      <c r="AX131" s="91"/>
      <c r="AY131" s="90"/>
    </row>
    <row r="132" spans="1:51">
      <c r="A132" s="84"/>
      <c r="B132" s="85"/>
      <c r="C132" s="86"/>
      <c r="D132" s="86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8"/>
      <c r="V132" s="87"/>
      <c r="W132" s="87"/>
      <c r="X132" s="87"/>
      <c r="Y132" s="87"/>
      <c r="Z132" s="87"/>
      <c r="AA132" s="89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90"/>
      <c r="AS132" s="90"/>
      <c r="AT132" s="90"/>
      <c r="AU132" s="90"/>
      <c r="AV132" s="90"/>
      <c r="AW132" s="90"/>
      <c r="AX132" s="91"/>
      <c r="AY132" s="90"/>
    </row>
    <row r="133" spans="1:51">
      <c r="A133" s="84"/>
      <c r="B133" s="85"/>
      <c r="C133" s="86"/>
      <c r="D133" s="86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8"/>
      <c r="V133" s="87"/>
      <c r="W133" s="87"/>
      <c r="X133" s="87"/>
      <c r="Y133" s="87"/>
      <c r="Z133" s="87"/>
      <c r="AA133" s="89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90"/>
      <c r="AS133" s="90"/>
      <c r="AT133" s="90"/>
      <c r="AU133" s="90"/>
      <c r="AV133" s="90"/>
      <c r="AW133" s="90"/>
      <c r="AX133" s="91"/>
      <c r="AY133" s="90"/>
    </row>
    <row r="134" spans="1:51">
      <c r="A134" s="84"/>
      <c r="B134" s="85"/>
      <c r="C134" s="86"/>
      <c r="D134" s="86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8"/>
      <c r="V134" s="87"/>
      <c r="W134" s="87"/>
      <c r="X134" s="87"/>
      <c r="Y134" s="87"/>
      <c r="Z134" s="87"/>
      <c r="AA134" s="89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90"/>
      <c r="AS134" s="90"/>
      <c r="AT134" s="90"/>
      <c r="AU134" s="90"/>
      <c r="AV134" s="90"/>
      <c r="AW134" s="90"/>
      <c r="AX134" s="91"/>
      <c r="AY134" s="90"/>
    </row>
    <row r="135" spans="1:51">
      <c r="A135" s="84"/>
      <c r="B135" s="85"/>
      <c r="C135" s="86"/>
      <c r="D135" s="86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8"/>
      <c r="V135" s="87"/>
      <c r="W135" s="87"/>
      <c r="X135" s="87"/>
      <c r="Y135" s="87"/>
      <c r="Z135" s="87"/>
      <c r="AA135" s="89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90"/>
      <c r="AS135" s="90"/>
      <c r="AT135" s="90"/>
      <c r="AU135" s="90"/>
      <c r="AV135" s="90"/>
      <c r="AW135" s="90"/>
      <c r="AX135" s="91"/>
      <c r="AY135" s="90"/>
    </row>
    <row r="136" spans="1:51">
      <c r="A136" s="84"/>
      <c r="B136" s="85"/>
      <c r="C136" s="86"/>
      <c r="D136" s="86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8"/>
      <c r="V136" s="87"/>
      <c r="W136" s="87"/>
      <c r="X136" s="87"/>
      <c r="Y136" s="87"/>
      <c r="Z136" s="87"/>
      <c r="AA136" s="89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90"/>
      <c r="AS136" s="90"/>
      <c r="AT136" s="90"/>
      <c r="AU136" s="90"/>
      <c r="AV136" s="90"/>
      <c r="AW136" s="90"/>
      <c r="AX136" s="91"/>
      <c r="AY136" s="90"/>
    </row>
    <row r="137" spans="1:51">
      <c r="A137" s="84"/>
      <c r="B137" s="85"/>
      <c r="C137" s="86"/>
      <c r="D137" s="86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8"/>
      <c r="V137" s="87"/>
      <c r="W137" s="87"/>
      <c r="X137" s="87"/>
      <c r="Y137" s="87"/>
      <c r="Z137" s="87"/>
      <c r="AA137" s="89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90"/>
      <c r="AS137" s="90"/>
      <c r="AT137" s="90"/>
      <c r="AU137" s="90"/>
      <c r="AV137" s="90"/>
      <c r="AW137" s="90"/>
      <c r="AX137" s="91"/>
      <c r="AY137" s="90"/>
    </row>
    <row r="138" spans="1:51">
      <c r="A138" s="84"/>
      <c r="B138" s="85"/>
      <c r="C138" s="86"/>
      <c r="D138" s="86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8"/>
      <c r="V138" s="87"/>
      <c r="W138" s="87"/>
      <c r="X138" s="87"/>
      <c r="Y138" s="87"/>
      <c r="Z138" s="87"/>
      <c r="AA138" s="89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90"/>
      <c r="AS138" s="90"/>
      <c r="AT138" s="90"/>
      <c r="AU138" s="90"/>
      <c r="AV138" s="90"/>
      <c r="AW138" s="90"/>
      <c r="AX138" s="91"/>
      <c r="AY138" s="90"/>
    </row>
    <row r="139" spans="1:51">
      <c r="A139" s="84"/>
      <c r="B139" s="85"/>
      <c r="C139" s="86"/>
      <c r="D139" s="86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8"/>
      <c r="V139" s="87"/>
      <c r="W139" s="87"/>
      <c r="X139" s="87"/>
      <c r="Y139" s="87"/>
      <c r="Z139" s="87"/>
      <c r="AA139" s="89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90"/>
      <c r="AS139" s="90"/>
      <c r="AT139" s="90"/>
      <c r="AU139" s="90"/>
      <c r="AV139" s="90"/>
      <c r="AW139" s="90"/>
      <c r="AX139" s="91"/>
      <c r="AY139" s="90"/>
    </row>
    <row r="140" spans="1:51">
      <c r="A140" s="84"/>
      <c r="B140" s="85"/>
      <c r="C140" s="86"/>
      <c r="D140" s="86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8"/>
      <c r="V140" s="87"/>
      <c r="W140" s="87"/>
      <c r="X140" s="87"/>
      <c r="Y140" s="87"/>
      <c r="Z140" s="87"/>
      <c r="AA140" s="89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90"/>
      <c r="AS140" s="90"/>
      <c r="AT140" s="90"/>
      <c r="AU140" s="90"/>
      <c r="AV140" s="90"/>
      <c r="AW140" s="90"/>
      <c r="AX140" s="91"/>
      <c r="AY140" s="90"/>
    </row>
    <row r="141" spans="1:51">
      <c r="A141" s="84"/>
      <c r="B141" s="85"/>
      <c r="C141" s="86"/>
      <c r="D141" s="86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8"/>
      <c r="V141" s="87"/>
      <c r="W141" s="87"/>
      <c r="X141" s="87"/>
      <c r="Y141" s="87"/>
      <c r="Z141" s="87"/>
      <c r="AA141" s="89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90"/>
      <c r="AS141" s="90"/>
      <c r="AT141" s="90"/>
      <c r="AU141" s="90"/>
      <c r="AV141" s="90"/>
      <c r="AW141" s="90"/>
      <c r="AX141" s="91"/>
      <c r="AY141" s="90"/>
    </row>
    <row r="142" spans="1:51">
      <c r="A142" s="84"/>
      <c r="B142" s="85"/>
      <c r="C142" s="86"/>
      <c r="D142" s="86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8"/>
      <c r="V142" s="87"/>
      <c r="W142" s="87"/>
      <c r="X142" s="87"/>
      <c r="Y142" s="87"/>
      <c r="Z142" s="87"/>
      <c r="AA142" s="89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90"/>
      <c r="AS142" s="90"/>
      <c r="AT142" s="90"/>
      <c r="AU142" s="90"/>
      <c r="AV142" s="90"/>
      <c r="AW142" s="90"/>
      <c r="AX142" s="91"/>
      <c r="AY142" s="90"/>
    </row>
    <row r="143" spans="1:51">
      <c r="A143" s="84"/>
      <c r="B143" s="85"/>
      <c r="C143" s="86"/>
      <c r="D143" s="86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8"/>
      <c r="V143" s="87"/>
      <c r="W143" s="87"/>
      <c r="X143" s="87"/>
      <c r="Y143" s="87"/>
      <c r="Z143" s="87"/>
      <c r="AA143" s="89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90"/>
      <c r="AS143" s="90"/>
      <c r="AT143" s="90"/>
      <c r="AU143" s="90"/>
      <c r="AV143" s="90"/>
      <c r="AW143" s="90"/>
      <c r="AX143" s="91"/>
      <c r="AY143" s="90"/>
    </row>
    <row r="144" spans="1:51">
      <c r="A144" s="84"/>
      <c r="B144" s="85"/>
      <c r="C144" s="86"/>
      <c r="D144" s="86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8"/>
      <c r="V144" s="87"/>
      <c r="W144" s="87"/>
      <c r="X144" s="87"/>
      <c r="Y144" s="87"/>
      <c r="Z144" s="87"/>
      <c r="AA144" s="89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90"/>
      <c r="AS144" s="90"/>
      <c r="AT144" s="90"/>
      <c r="AU144" s="90"/>
      <c r="AV144" s="90"/>
      <c r="AW144" s="90"/>
      <c r="AX144" s="91"/>
      <c r="AY144" s="90"/>
    </row>
    <row r="145" spans="1:51">
      <c r="A145" s="84"/>
      <c r="B145" s="85"/>
      <c r="C145" s="86"/>
      <c r="D145" s="86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8"/>
      <c r="V145" s="87"/>
      <c r="W145" s="87"/>
      <c r="X145" s="87"/>
      <c r="Y145" s="87"/>
      <c r="Z145" s="87"/>
      <c r="AA145" s="89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90"/>
      <c r="AS145" s="90"/>
      <c r="AT145" s="90"/>
      <c r="AU145" s="90"/>
      <c r="AV145" s="90"/>
      <c r="AW145" s="90"/>
      <c r="AX145" s="91"/>
      <c r="AY145" s="90"/>
    </row>
    <row r="146" spans="1:51">
      <c r="A146" s="84"/>
      <c r="B146" s="85"/>
      <c r="C146" s="86"/>
      <c r="D146" s="86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8"/>
      <c r="V146" s="87"/>
      <c r="W146" s="87"/>
      <c r="X146" s="87"/>
      <c r="Y146" s="87"/>
      <c r="Z146" s="87"/>
      <c r="AA146" s="89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90"/>
      <c r="AS146" s="90"/>
      <c r="AT146" s="90"/>
      <c r="AU146" s="90"/>
      <c r="AV146" s="90"/>
      <c r="AW146" s="90"/>
      <c r="AX146" s="91"/>
      <c r="AY146" s="90"/>
    </row>
    <row r="147" spans="1:51">
      <c r="A147" s="84"/>
      <c r="B147" s="85"/>
      <c r="C147" s="86"/>
      <c r="D147" s="86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8"/>
      <c r="V147" s="87"/>
      <c r="W147" s="87"/>
      <c r="X147" s="87"/>
      <c r="Y147" s="87"/>
      <c r="Z147" s="87"/>
      <c r="AA147" s="89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90"/>
      <c r="AS147" s="90"/>
      <c r="AT147" s="90"/>
      <c r="AU147" s="90"/>
      <c r="AV147" s="90"/>
      <c r="AW147" s="90"/>
      <c r="AX147" s="91"/>
      <c r="AY147" s="90"/>
    </row>
    <row r="148" spans="1:51">
      <c r="A148" s="84"/>
      <c r="B148" s="85"/>
      <c r="C148" s="86"/>
      <c r="D148" s="86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8"/>
      <c r="V148" s="87"/>
      <c r="W148" s="87"/>
      <c r="X148" s="87"/>
      <c r="Y148" s="87"/>
      <c r="Z148" s="87"/>
      <c r="AA148" s="89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90"/>
      <c r="AS148" s="90"/>
      <c r="AT148" s="90"/>
      <c r="AU148" s="90"/>
      <c r="AV148" s="90"/>
      <c r="AW148" s="90"/>
      <c r="AX148" s="91"/>
      <c r="AY148" s="90"/>
    </row>
    <row r="149" spans="1:51">
      <c r="A149" s="84"/>
      <c r="B149" s="85"/>
      <c r="C149" s="86"/>
      <c r="D149" s="86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8"/>
      <c r="V149" s="87"/>
      <c r="W149" s="87"/>
      <c r="X149" s="87"/>
      <c r="Y149" s="87"/>
      <c r="Z149" s="87"/>
      <c r="AA149" s="89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90"/>
      <c r="AS149" s="90"/>
      <c r="AT149" s="90"/>
      <c r="AU149" s="90"/>
      <c r="AV149" s="90"/>
      <c r="AW149" s="90"/>
      <c r="AX149" s="91"/>
      <c r="AY149" s="90"/>
    </row>
    <row r="150" spans="1:51">
      <c r="A150" s="84"/>
      <c r="B150" s="85"/>
      <c r="C150" s="86"/>
      <c r="D150" s="86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8"/>
      <c r="V150" s="87"/>
      <c r="W150" s="87"/>
      <c r="X150" s="87"/>
      <c r="Y150" s="87"/>
      <c r="Z150" s="87"/>
      <c r="AA150" s="89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90"/>
      <c r="AS150" s="90"/>
      <c r="AT150" s="90"/>
      <c r="AU150" s="90"/>
      <c r="AV150" s="90"/>
      <c r="AW150" s="90"/>
      <c r="AX150" s="91"/>
      <c r="AY150" s="90"/>
    </row>
    <row r="151" spans="1:51">
      <c r="A151" s="84"/>
      <c r="B151" s="85"/>
      <c r="C151" s="86"/>
      <c r="D151" s="86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8"/>
      <c r="V151" s="87"/>
      <c r="W151" s="87"/>
      <c r="X151" s="87"/>
      <c r="Y151" s="87"/>
      <c r="Z151" s="87"/>
      <c r="AA151" s="89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90"/>
      <c r="AS151" s="90"/>
      <c r="AT151" s="90"/>
      <c r="AU151" s="90"/>
      <c r="AV151" s="90"/>
      <c r="AW151" s="90"/>
      <c r="AX151" s="91"/>
      <c r="AY151" s="90"/>
    </row>
    <row r="152" spans="1:51">
      <c r="A152" s="84"/>
      <c r="B152" s="85"/>
      <c r="C152" s="86"/>
      <c r="D152" s="86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8"/>
      <c r="V152" s="87"/>
      <c r="W152" s="87"/>
      <c r="X152" s="87"/>
      <c r="Y152" s="87"/>
      <c r="Z152" s="87"/>
      <c r="AA152" s="89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90"/>
      <c r="AS152" s="90"/>
      <c r="AT152" s="90"/>
      <c r="AU152" s="90"/>
      <c r="AV152" s="90"/>
      <c r="AW152" s="90"/>
      <c r="AX152" s="91"/>
      <c r="AY152" s="90"/>
    </row>
    <row r="153" spans="1:51">
      <c r="A153" s="84"/>
      <c r="B153" s="85"/>
      <c r="C153" s="86"/>
      <c r="D153" s="86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8"/>
      <c r="V153" s="87"/>
      <c r="W153" s="87"/>
      <c r="X153" s="87"/>
      <c r="Y153" s="87"/>
      <c r="Z153" s="87"/>
      <c r="AA153" s="89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90"/>
      <c r="AS153" s="90"/>
      <c r="AT153" s="90"/>
      <c r="AU153" s="90"/>
      <c r="AV153" s="90"/>
      <c r="AW153" s="90"/>
      <c r="AX153" s="91"/>
      <c r="AY153" s="90"/>
    </row>
    <row r="154" spans="1:51">
      <c r="A154" s="84"/>
      <c r="B154" s="85"/>
      <c r="C154" s="86"/>
      <c r="D154" s="86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8"/>
      <c r="V154" s="87"/>
      <c r="W154" s="87"/>
      <c r="X154" s="87"/>
      <c r="Y154" s="87"/>
      <c r="Z154" s="87"/>
      <c r="AA154" s="89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90"/>
      <c r="AS154" s="90"/>
      <c r="AT154" s="90"/>
      <c r="AU154" s="90"/>
      <c r="AV154" s="90"/>
      <c r="AW154" s="90"/>
      <c r="AX154" s="91"/>
      <c r="AY154" s="90"/>
    </row>
    <row r="155" spans="1:51">
      <c r="A155" s="84"/>
      <c r="B155" s="85"/>
      <c r="C155" s="86"/>
      <c r="D155" s="86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8"/>
      <c r="V155" s="87"/>
      <c r="W155" s="87"/>
      <c r="X155" s="87"/>
      <c r="Y155" s="87"/>
      <c r="Z155" s="87"/>
      <c r="AA155" s="89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90"/>
      <c r="AS155" s="90"/>
      <c r="AT155" s="90"/>
      <c r="AU155" s="90"/>
      <c r="AV155" s="90"/>
      <c r="AW155" s="90"/>
      <c r="AX155" s="91"/>
      <c r="AY155" s="90"/>
    </row>
    <row r="156" spans="1:51">
      <c r="A156" s="84"/>
      <c r="B156" s="85"/>
      <c r="C156" s="86"/>
      <c r="D156" s="86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8"/>
      <c r="V156" s="87"/>
      <c r="W156" s="87"/>
      <c r="X156" s="87"/>
      <c r="Y156" s="87"/>
      <c r="Z156" s="87"/>
      <c r="AA156" s="89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90"/>
      <c r="AS156" s="90"/>
      <c r="AT156" s="90"/>
      <c r="AU156" s="90"/>
      <c r="AV156" s="90"/>
      <c r="AW156" s="90"/>
      <c r="AX156" s="91"/>
      <c r="AY156" s="90"/>
    </row>
    <row r="157" spans="1:51">
      <c r="A157" s="84"/>
      <c r="B157" s="85"/>
      <c r="C157" s="86"/>
      <c r="D157" s="86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8"/>
      <c r="V157" s="87"/>
      <c r="W157" s="87"/>
      <c r="X157" s="87"/>
      <c r="Y157" s="87"/>
      <c r="Z157" s="87"/>
      <c r="AA157" s="89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90"/>
      <c r="AS157" s="90"/>
      <c r="AT157" s="90"/>
      <c r="AU157" s="90"/>
      <c r="AV157" s="90"/>
      <c r="AW157" s="90"/>
      <c r="AX157" s="91"/>
      <c r="AY157" s="90"/>
    </row>
    <row r="158" spans="1:51">
      <c r="A158" s="84"/>
      <c r="B158" s="85"/>
      <c r="C158" s="86"/>
      <c r="D158" s="86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8"/>
      <c r="V158" s="87"/>
      <c r="W158" s="87"/>
      <c r="X158" s="87"/>
      <c r="Y158" s="87"/>
      <c r="Z158" s="87"/>
      <c r="AA158" s="89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90"/>
      <c r="AS158" s="90"/>
      <c r="AT158" s="90"/>
      <c r="AU158" s="90"/>
      <c r="AV158" s="90"/>
      <c r="AW158" s="90"/>
      <c r="AX158" s="91"/>
      <c r="AY158" s="90"/>
    </row>
    <row r="159" spans="1:51">
      <c r="A159" s="84"/>
      <c r="B159" s="85"/>
      <c r="C159" s="86"/>
      <c r="D159" s="86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8"/>
      <c r="V159" s="87"/>
      <c r="W159" s="87"/>
      <c r="X159" s="87"/>
      <c r="Y159" s="87"/>
      <c r="Z159" s="87"/>
      <c r="AA159" s="89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90"/>
      <c r="AS159" s="90"/>
      <c r="AT159" s="90"/>
      <c r="AU159" s="90"/>
      <c r="AV159" s="90"/>
      <c r="AW159" s="90"/>
      <c r="AX159" s="91"/>
      <c r="AY159" s="90"/>
    </row>
    <row r="160" spans="1:51">
      <c r="A160" s="84"/>
      <c r="B160" s="85"/>
      <c r="C160" s="86"/>
      <c r="D160" s="86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8"/>
      <c r="V160" s="87"/>
      <c r="W160" s="87"/>
      <c r="X160" s="87"/>
      <c r="Y160" s="87"/>
      <c r="Z160" s="87"/>
      <c r="AA160" s="89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90"/>
      <c r="AS160" s="90"/>
      <c r="AT160" s="90"/>
      <c r="AU160" s="90"/>
      <c r="AV160" s="90"/>
      <c r="AW160" s="90"/>
      <c r="AX160" s="91"/>
      <c r="AY160" s="90"/>
    </row>
    <row r="161" spans="1:51">
      <c r="A161" s="84"/>
      <c r="B161" s="85"/>
      <c r="C161" s="86"/>
      <c r="D161" s="86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8"/>
      <c r="V161" s="87"/>
      <c r="W161" s="87"/>
      <c r="X161" s="87"/>
      <c r="Y161" s="87"/>
      <c r="Z161" s="87"/>
      <c r="AA161" s="89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90"/>
      <c r="AS161" s="90"/>
      <c r="AT161" s="90"/>
      <c r="AU161" s="90"/>
      <c r="AV161" s="90"/>
      <c r="AW161" s="90"/>
      <c r="AX161" s="91"/>
      <c r="AY161" s="90"/>
    </row>
    <row r="162" spans="1:51">
      <c r="A162" s="84"/>
      <c r="B162" s="85"/>
      <c r="C162" s="86"/>
      <c r="D162" s="86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8"/>
      <c r="V162" s="87"/>
      <c r="W162" s="87"/>
      <c r="X162" s="87"/>
      <c r="Y162" s="87"/>
      <c r="Z162" s="87"/>
      <c r="AA162" s="89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90"/>
      <c r="AS162" s="90"/>
      <c r="AT162" s="90"/>
      <c r="AU162" s="90"/>
      <c r="AV162" s="90"/>
      <c r="AW162" s="90"/>
      <c r="AX162" s="91"/>
      <c r="AY162" s="90"/>
    </row>
    <row r="163" spans="1:51">
      <c r="A163" s="84"/>
      <c r="B163" s="85"/>
      <c r="C163" s="86"/>
      <c r="D163" s="86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8"/>
      <c r="V163" s="87"/>
      <c r="W163" s="87"/>
      <c r="X163" s="87"/>
      <c r="Y163" s="87"/>
      <c r="Z163" s="87"/>
      <c r="AA163" s="89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90"/>
      <c r="AS163" s="90"/>
      <c r="AT163" s="90"/>
      <c r="AU163" s="90"/>
      <c r="AV163" s="90"/>
      <c r="AW163" s="90"/>
      <c r="AX163" s="91"/>
      <c r="AY163" s="90"/>
    </row>
    <row r="164" spans="1:51">
      <c r="A164" s="84"/>
      <c r="B164" s="85"/>
      <c r="C164" s="86"/>
      <c r="D164" s="86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8"/>
      <c r="V164" s="87"/>
      <c r="W164" s="87"/>
      <c r="X164" s="87"/>
      <c r="Y164" s="87"/>
      <c r="Z164" s="87"/>
      <c r="AA164" s="89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90"/>
      <c r="AS164" s="90"/>
      <c r="AT164" s="90"/>
      <c r="AU164" s="90"/>
      <c r="AV164" s="90"/>
      <c r="AW164" s="90"/>
      <c r="AX164" s="91"/>
      <c r="AY164" s="90"/>
    </row>
    <row r="165" spans="1:51">
      <c r="A165" s="84"/>
      <c r="B165" s="85"/>
      <c r="C165" s="86"/>
      <c r="D165" s="86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8"/>
      <c r="V165" s="87"/>
      <c r="W165" s="87"/>
      <c r="X165" s="87"/>
      <c r="Y165" s="87"/>
      <c r="Z165" s="87"/>
      <c r="AA165" s="89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90"/>
      <c r="AS165" s="90"/>
      <c r="AT165" s="90"/>
      <c r="AU165" s="90"/>
      <c r="AV165" s="90"/>
      <c r="AW165" s="90"/>
      <c r="AX165" s="91"/>
      <c r="AY165" s="90"/>
    </row>
    <row r="166" spans="1:51">
      <c r="A166" s="84"/>
      <c r="B166" s="85"/>
      <c r="C166" s="86"/>
      <c r="D166" s="86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8"/>
      <c r="V166" s="87"/>
      <c r="W166" s="87"/>
      <c r="X166" s="87"/>
      <c r="Y166" s="87"/>
      <c r="Z166" s="87"/>
      <c r="AA166" s="89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90"/>
      <c r="AS166" s="90"/>
      <c r="AT166" s="90"/>
      <c r="AU166" s="90"/>
      <c r="AV166" s="90"/>
      <c r="AW166" s="90"/>
      <c r="AX166" s="91"/>
      <c r="AY166" s="90"/>
    </row>
    <row r="167" spans="1:51">
      <c r="A167" s="84"/>
      <c r="B167" s="85"/>
      <c r="C167" s="86"/>
      <c r="D167" s="86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8"/>
      <c r="V167" s="87"/>
      <c r="W167" s="87"/>
      <c r="X167" s="87"/>
      <c r="Y167" s="87"/>
      <c r="Z167" s="87"/>
      <c r="AA167" s="89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90"/>
      <c r="AS167" s="90"/>
      <c r="AT167" s="90"/>
      <c r="AU167" s="90"/>
      <c r="AV167" s="90"/>
      <c r="AW167" s="90"/>
      <c r="AX167" s="91"/>
      <c r="AY167" s="90"/>
    </row>
    <row r="168" spans="1:51">
      <c r="A168" s="84"/>
      <c r="B168" s="85"/>
      <c r="C168" s="86"/>
      <c r="D168" s="86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8"/>
      <c r="V168" s="87"/>
      <c r="W168" s="87"/>
      <c r="X168" s="87"/>
      <c r="Y168" s="87"/>
      <c r="Z168" s="87"/>
      <c r="AA168" s="89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90"/>
      <c r="AS168" s="90"/>
      <c r="AT168" s="90"/>
      <c r="AU168" s="90"/>
      <c r="AV168" s="90"/>
      <c r="AW168" s="90"/>
      <c r="AX168" s="91"/>
      <c r="AY168" s="90"/>
    </row>
    <row r="169" spans="1:51">
      <c r="A169" s="84"/>
      <c r="B169" s="85"/>
      <c r="C169" s="86"/>
      <c r="D169" s="86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8"/>
      <c r="V169" s="87"/>
      <c r="W169" s="87"/>
      <c r="X169" s="87"/>
      <c r="Y169" s="87"/>
      <c r="Z169" s="87"/>
      <c r="AA169" s="89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90"/>
      <c r="AS169" s="90"/>
      <c r="AT169" s="90"/>
      <c r="AU169" s="90"/>
      <c r="AV169" s="90"/>
      <c r="AW169" s="90"/>
      <c r="AX169" s="91"/>
      <c r="AY169" s="90"/>
    </row>
    <row r="170" spans="1:51">
      <c r="A170" s="84"/>
      <c r="B170" s="85"/>
      <c r="C170" s="86"/>
      <c r="D170" s="86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8"/>
      <c r="V170" s="87"/>
      <c r="W170" s="87"/>
      <c r="X170" s="87"/>
      <c r="Y170" s="87"/>
      <c r="Z170" s="87"/>
      <c r="AA170" s="89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90"/>
      <c r="AS170" s="90"/>
      <c r="AT170" s="90"/>
      <c r="AU170" s="90"/>
      <c r="AV170" s="90"/>
      <c r="AW170" s="90"/>
      <c r="AX170" s="91"/>
      <c r="AY170" s="90"/>
    </row>
    <row r="171" spans="1:51">
      <c r="A171" s="84"/>
      <c r="B171" s="85"/>
      <c r="C171" s="86"/>
      <c r="D171" s="86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8"/>
      <c r="V171" s="87"/>
      <c r="W171" s="87"/>
      <c r="X171" s="87"/>
      <c r="Y171" s="87"/>
      <c r="Z171" s="87"/>
      <c r="AA171" s="89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90"/>
      <c r="AS171" s="90"/>
      <c r="AT171" s="90"/>
      <c r="AU171" s="90"/>
      <c r="AV171" s="90"/>
      <c r="AW171" s="90"/>
      <c r="AX171" s="91"/>
      <c r="AY171" s="90"/>
    </row>
    <row r="172" spans="1:51">
      <c r="A172" s="84"/>
      <c r="B172" s="85"/>
      <c r="C172" s="86"/>
      <c r="D172" s="86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8"/>
      <c r="V172" s="87"/>
      <c r="W172" s="87"/>
      <c r="X172" s="87"/>
      <c r="Y172" s="87"/>
      <c r="Z172" s="87"/>
      <c r="AA172" s="89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90"/>
      <c r="AS172" s="90"/>
      <c r="AT172" s="90"/>
      <c r="AU172" s="90"/>
      <c r="AV172" s="90"/>
      <c r="AW172" s="90"/>
      <c r="AX172" s="91"/>
      <c r="AY172" s="90"/>
    </row>
    <row r="173" spans="1:51">
      <c r="A173" s="84"/>
      <c r="B173" s="85"/>
      <c r="C173" s="86"/>
      <c r="D173" s="86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8"/>
      <c r="V173" s="87"/>
      <c r="W173" s="87"/>
      <c r="X173" s="87"/>
      <c r="Y173" s="87"/>
      <c r="Z173" s="87"/>
      <c r="AA173" s="89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90"/>
      <c r="AS173" s="90"/>
      <c r="AT173" s="90"/>
      <c r="AU173" s="90"/>
      <c r="AV173" s="90"/>
      <c r="AW173" s="90"/>
      <c r="AX173" s="91"/>
      <c r="AY173" s="90"/>
    </row>
    <row r="174" spans="1:51">
      <c r="A174" s="84"/>
      <c r="B174" s="85"/>
      <c r="C174" s="86"/>
      <c r="D174" s="86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8"/>
      <c r="V174" s="87"/>
      <c r="W174" s="87"/>
      <c r="X174" s="87"/>
      <c r="Y174" s="87"/>
      <c r="Z174" s="87"/>
      <c r="AA174" s="89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90"/>
      <c r="AS174" s="90"/>
      <c r="AT174" s="90"/>
      <c r="AU174" s="90"/>
      <c r="AV174" s="90"/>
      <c r="AW174" s="90"/>
      <c r="AX174" s="91"/>
      <c r="AY174" s="90"/>
    </row>
    <row r="175" spans="1:51">
      <c r="A175" s="84"/>
      <c r="B175" s="85"/>
      <c r="C175" s="86"/>
      <c r="D175" s="86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8"/>
      <c r="V175" s="87"/>
      <c r="W175" s="87"/>
      <c r="X175" s="87"/>
      <c r="Y175" s="87"/>
      <c r="Z175" s="87"/>
      <c r="AA175" s="89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90"/>
      <c r="AS175" s="90"/>
      <c r="AT175" s="90"/>
      <c r="AU175" s="90"/>
      <c r="AV175" s="90"/>
      <c r="AW175" s="90"/>
      <c r="AX175" s="91"/>
      <c r="AY175" s="90"/>
    </row>
    <row r="176" spans="1:51">
      <c r="A176" s="84"/>
      <c r="B176" s="85"/>
      <c r="C176" s="86"/>
      <c r="D176" s="86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8"/>
      <c r="V176" s="87"/>
      <c r="W176" s="87"/>
      <c r="X176" s="87"/>
      <c r="Y176" s="87"/>
      <c r="Z176" s="87"/>
      <c r="AA176" s="89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90"/>
      <c r="AS176" s="90"/>
      <c r="AT176" s="90"/>
      <c r="AU176" s="90"/>
      <c r="AV176" s="90"/>
      <c r="AW176" s="90"/>
      <c r="AX176" s="91"/>
      <c r="AY176" s="90"/>
    </row>
    <row r="177" spans="1:51">
      <c r="A177" s="84"/>
      <c r="B177" s="85"/>
      <c r="C177" s="86"/>
      <c r="D177" s="86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8"/>
      <c r="V177" s="87"/>
      <c r="W177" s="87"/>
      <c r="X177" s="87"/>
      <c r="Y177" s="87"/>
      <c r="Z177" s="87"/>
      <c r="AA177" s="89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90"/>
      <c r="AS177" s="90"/>
      <c r="AT177" s="90"/>
      <c r="AU177" s="90"/>
      <c r="AV177" s="90"/>
      <c r="AW177" s="90"/>
      <c r="AX177" s="91"/>
      <c r="AY177" s="90"/>
    </row>
    <row r="178" spans="1:51">
      <c r="A178" s="84"/>
      <c r="B178" s="85"/>
      <c r="C178" s="86"/>
      <c r="D178" s="86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8"/>
      <c r="V178" s="87"/>
      <c r="W178" s="87"/>
      <c r="X178" s="87"/>
      <c r="Y178" s="87"/>
      <c r="Z178" s="87"/>
      <c r="AA178" s="89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90"/>
      <c r="AS178" s="90"/>
      <c r="AT178" s="90"/>
      <c r="AU178" s="90"/>
      <c r="AV178" s="90"/>
      <c r="AW178" s="90"/>
      <c r="AX178" s="91"/>
      <c r="AY178" s="90"/>
    </row>
    <row r="179" spans="1:51">
      <c r="A179" s="84"/>
      <c r="B179" s="85"/>
      <c r="C179" s="86"/>
      <c r="D179" s="86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8"/>
      <c r="V179" s="87"/>
      <c r="W179" s="87"/>
      <c r="X179" s="87"/>
      <c r="Y179" s="87"/>
      <c r="Z179" s="87"/>
      <c r="AA179" s="89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90"/>
      <c r="AS179" s="90"/>
      <c r="AT179" s="90"/>
      <c r="AU179" s="90"/>
      <c r="AV179" s="90"/>
      <c r="AW179" s="90"/>
      <c r="AX179" s="91"/>
      <c r="AY179" s="90"/>
    </row>
    <row r="180" spans="1:51">
      <c r="A180" s="84"/>
      <c r="B180" s="85"/>
      <c r="C180" s="86"/>
      <c r="D180" s="86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8"/>
      <c r="V180" s="87"/>
      <c r="W180" s="87"/>
      <c r="X180" s="87"/>
      <c r="Y180" s="87"/>
      <c r="Z180" s="87"/>
      <c r="AA180" s="89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90"/>
      <c r="AS180" s="90"/>
      <c r="AT180" s="90"/>
      <c r="AU180" s="90"/>
      <c r="AV180" s="90"/>
      <c r="AW180" s="90"/>
      <c r="AX180" s="91"/>
      <c r="AY180" s="90"/>
    </row>
    <row r="181" spans="1:51">
      <c r="A181" s="84"/>
      <c r="B181" s="85"/>
      <c r="C181" s="86"/>
      <c r="D181" s="86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8"/>
      <c r="V181" s="87"/>
      <c r="W181" s="87"/>
      <c r="X181" s="87"/>
      <c r="Y181" s="87"/>
      <c r="Z181" s="87"/>
      <c r="AA181" s="89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90"/>
      <c r="AS181" s="90"/>
      <c r="AT181" s="90"/>
      <c r="AU181" s="90"/>
      <c r="AV181" s="90"/>
      <c r="AW181" s="90"/>
      <c r="AX181" s="91"/>
      <c r="AY181" s="90"/>
    </row>
    <row r="182" spans="1:51">
      <c r="A182" s="84"/>
      <c r="B182" s="85"/>
      <c r="C182" s="86"/>
      <c r="D182" s="86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8"/>
      <c r="V182" s="87"/>
      <c r="W182" s="87"/>
      <c r="X182" s="87"/>
      <c r="Y182" s="87"/>
      <c r="Z182" s="87"/>
      <c r="AA182" s="89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90"/>
      <c r="AS182" s="90"/>
      <c r="AT182" s="90"/>
      <c r="AU182" s="90"/>
      <c r="AV182" s="90"/>
      <c r="AW182" s="90"/>
      <c r="AX182" s="91"/>
      <c r="AY182" s="90"/>
    </row>
    <row r="183" spans="1:51">
      <c r="A183" s="84"/>
      <c r="B183" s="85"/>
      <c r="C183" s="86"/>
      <c r="D183" s="86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8"/>
      <c r="V183" s="87"/>
      <c r="W183" s="87"/>
      <c r="X183" s="87"/>
      <c r="Y183" s="87"/>
      <c r="Z183" s="87"/>
      <c r="AA183" s="89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90"/>
      <c r="AS183" s="90"/>
      <c r="AT183" s="90"/>
      <c r="AU183" s="90"/>
      <c r="AV183" s="90"/>
      <c r="AW183" s="90"/>
      <c r="AX183" s="91"/>
      <c r="AY183" s="90"/>
    </row>
    <row r="184" spans="1:51">
      <c r="A184" s="84"/>
      <c r="B184" s="85"/>
      <c r="C184" s="86"/>
      <c r="D184" s="86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8"/>
      <c r="V184" s="87"/>
      <c r="W184" s="87"/>
      <c r="X184" s="87"/>
      <c r="Y184" s="87"/>
      <c r="Z184" s="87"/>
      <c r="AA184" s="89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90"/>
      <c r="AS184" s="90"/>
      <c r="AT184" s="90"/>
      <c r="AU184" s="90"/>
      <c r="AV184" s="90"/>
      <c r="AW184" s="90"/>
      <c r="AX184" s="91"/>
      <c r="AY184" s="90"/>
    </row>
    <row r="185" spans="1:51">
      <c r="A185" s="84"/>
      <c r="B185" s="85"/>
      <c r="C185" s="86"/>
      <c r="D185" s="86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8"/>
      <c r="V185" s="87"/>
      <c r="W185" s="87"/>
      <c r="X185" s="87"/>
      <c r="Y185" s="87"/>
      <c r="Z185" s="87"/>
      <c r="AA185" s="89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90"/>
      <c r="AS185" s="90"/>
      <c r="AT185" s="90"/>
      <c r="AU185" s="90"/>
      <c r="AV185" s="90"/>
      <c r="AW185" s="90"/>
      <c r="AX185" s="91"/>
      <c r="AY185" s="90"/>
    </row>
    <row r="186" spans="1:51">
      <c r="A186" s="84"/>
      <c r="B186" s="85"/>
      <c r="C186" s="86"/>
      <c r="D186" s="86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8"/>
      <c r="V186" s="87"/>
      <c r="W186" s="87"/>
      <c r="X186" s="87"/>
      <c r="Y186" s="87"/>
      <c r="Z186" s="87"/>
      <c r="AA186" s="89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90"/>
      <c r="AS186" s="90"/>
      <c r="AT186" s="90"/>
      <c r="AU186" s="90"/>
      <c r="AV186" s="90"/>
      <c r="AW186" s="90"/>
      <c r="AX186" s="91"/>
      <c r="AY186" s="90"/>
    </row>
    <row r="187" spans="1:51">
      <c r="A187" s="84"/>
      <c r="B187" s="85"/>
      <c r="C187" s="86"/>
      <c r="D187" s="86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8"/>
      <c r="V187" s="87"/>
      <c r="W187" s="87"/>
      <c r="X187" s="87"/>
      <c r="Y187" s="87"/>
      <c r="Z187" s="87"/>
      <c r="AA187" s="89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90"/>
      <c r="AS187" s="90"/>
      <c r="AT187" s="90"/>
      <c r="AU187" s="90"/>
      <c r="AV187" s="90"/>
      <c r="AW187" s="90"/>
      <c r="AX187" s="91"/>
      <c r="AY187" s="90"/>
    </row>
    <row r="188" spans="1:51">
      <c r="A188" s="84"/>
      <c r="B188" s="85"/>
      <c r="C188" s="86"/>
      <c r="D188" s="86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8"/>
      <c r="V188" s="87"/>
      <c r="W188" s="87"/>
      <c r="X188" s="87"/>
      <c r="Y188" s="87"/>
      <c r="Z188" s="87"/>
      <c r="AA188" s="89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90"/>
      <c r="AS188" s="90"/>
      <c r="AT188" s="90"/>
      <c r="AU188" s="90"/>
      <c r="AV188" s="90"/>
      <c r="AW188" s="90"/>
      <c r="AX188" s="91"/>
      <c r="AY188" s="90"/>
    </row>
    <row r="189" spans="1:51">
      <c r="A189" s="84"/>
      <c r="B189" s="85"/>
      <c r="C189" s="86"/>
      <c r="D189" s="86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8"/>
      <c r="V189" s="87"/>
      <c r="W189" s="87"/>
      <c r="X189" s="87"/>
      <c r="Y189" s="87"/>
      <c r="Z189" s="87"/>
      <c r="AA189" s="89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90"/>
      <c r="AS189" s="90"/>
      <c r="AT189" s="90"/>
      <c r="AU189" s="90"/>
      <c r="AV189" s="90"/>
      <c r="AW189" s="90"/>
      <c r="AX189" s="91"/>
      <c r="AY189" s="90"/>
    </row>
    <row r="190" spans="1:51">
      <c r="A190" s="84"/>
      <c r="B190" s="85"/>
      <c r="C190" s="86"/>
      <c r="D190" s="86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8"/>
      <c r="V190" s="87"/>
      <c r="W190" s="87"/>
      <c r="X190" s="87"/>
      <c r="Y190" s="87"/>
      <c r="Z190" s="87"/>
      <c r="AA190" s="89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90"/>
      <c r="AS190" s="90"/>
      <c r="AT190" s="90"/>
      <c r="AU190" s="90"/>
      <c r="AV190" s="90"/>
      <c r="AW190" s="90"/>
      <c r="AX190" s="91"/>
      <c r="AY190" s="90"/>
    </row>
    <row r="191" spans="1:51">
      <c r="A191" s="84"/>
      <c r="B191" s="85"/>
      <c r="C191" s="86"/>
      <c r="D191" s="86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8"/>
      <c r="V191" s="87"/>
      <c r="W191" s="87"/>
      <c r="X191" s="87"/>
      <c r="Y191" s="87"/>
      <c r="Z191" s="87"/>
      <c r="AA191" s="89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90"/>
      <c r="AS191" s="90"/>
      <c r="AT191" s="90"/>
      <c r="AU191" s="90"/>
      <c r="AV191" s="90"/>
      <c r="AW191" s="90"/>
      <c r="AX191" s="91"/>
      <c r="AY191" s="90"/>
    </row>
    <row r="192" spans="1:51">
      <c r="A192" s="84"/>
      <c r="B192" s="85"/>
      <c r="C192" s="86"/>
      <c r="D192" s="86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8"/>
      <c r="V192" s="87"/>
      <c r="W192" s="87"/>
      <c r="X192" s="87"/>
      <c r="Y192" s="87"/>
      <c r="Z192" s="87"/>
      <c r="AA192" s="89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90"/>
      <c r="AS192" s="90"/>
      <c r="AT192" s="90"/>
      <c r="AU192" s="90"/>
      <c r="AV192" s="90"/>
      <c r="AW192" s="90"/>
      <c r="AX192" s="91"/>
      <c r="AY192" s="90"/>
    </row>
    <row r="193" spans="1:51">
      <c r="A193" s="84"/>
      <c r="B193" s="85"/>
      <c r="C193" s="86"/>
      <c r="D193" s="86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8"/>
      <c r="V193" s="87"/>
      <c r="W193" s="87"/>
      <c r="X193" s="87"/>
      <c r="Y193" s="87"/>
      <c r="Z193" s="87"/>
      <c r="AA193" s="89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90"/>
      <c r="AS193" s="90"/>
      <c r="AT193" s="90"/>
      <c r="AU193" s="90"/>
      <c r="AV193" s="90"/>
      <c r="AW193" s="90"/>
      <c r="AX193" s="91"/>
      <c r="AY193" s="90"/>
    </row>
    <row r="194" spans="1:51">
      <c r="A194" s="84"/>
      <c r="B194" s="85"/>
      <c r="C194" s="86"/>
      <c r="D194" s="86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8"/>
      <c r="V194" s="87"/>
      <c r="W194" s="87"/>
      <c r="X194" s="87"/>
      <c r="Y194" s="87"/>
      <c r="Z194" s="87"/>
      <c r="AA194" s="89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90"/>
      <c r="AS194" s="90"/>
      <c r="AT194" s="90"/>
      <c r="AU194" s="90"/>
      <c r="AV194" s="90"/>
      <c r="AW194" s="90"/>
      <c r="AX194" s="91"/>
      <c r="AY194" s="90"/>
    </row>
    <row r="195" spans="1:51">
      <c r="A195" s="84"/>
      <c r="B195" s="85"/>
      <c r="C195" s="86"/>
      <c r="D195" s="86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8"/>
      <c r="V195" s="87"/>
      <c r="W195" s="87"/>
      <c r="X195" s="87"/>
      <c r="Y195" s="87"/>
      <c r="Z195" s="87"/>
      <c r="AA195" s="89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90"/>
      <c r="AS195" s="90"/>
      <c r="AT195" s="90"/>
      <c r="AU195" s="90"/>
      <c r="AV195" s="90"/>
      <c r="AW195" s="90"/>
      <c r="AX195" s="91"/>
      <c r="AY195" s="90"/>
    </row>
    <row r="196" spans="1:51">
      <c r="A196" s="84"/>
      <c r="B196" s="85"/>
      <c r="C196" s="86"/>
      <c r="D196" s="86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8"/>
      <c r="V196" s="87"/>
      <c r="W196" s="87"/>
      <c r="X196" s="87"/>
      <c r="Y196" s="87"/>
      <c r="Z196" s="87"/>
      <c r="AA196" s="89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90"/>
      <c r="AS196" s="90"/>
      <c r="AT196" s="90"/>
      <c r="AU196" s="90"/>
      <c r="AV196" s="90"/>
      <c r="AW196" s="90"/>
      <c r="AX196" s="91"/>
      <c r="AY196" s="90"/>
    </row>
    <row r="197" spans="1:51">
      <c r="A197" s="84"/>
      <c r="B197" s="85"/>
      <c r="C197" s="86"/>
      <c r="D197" s="86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8"/>
      <c r="V197" s="87"/>
      <c r="W197" s="87"/>
      <c r="X197" s="87"/>
      <c r="Y197" s="87"/>
      <c r="Z197" s="87"/>
      <c r="AA197" s="89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90"/>
      <c r="AS197" s="90"/>
      <c r="AT197" s="90"/>
      <c r="AU197" s="90"/>
      <c r="AV197" s="90"/>
      <c r="AW197" s="90"/>
      <c r="AX197" s="91"/>
      <c r="AY197" s="90"/>
    </row>
    <row r="198" spans="1:51">
      <c r="A198" s="84"/>
      <c r="B198" s="85"/>
      <c r="C198" s="86"/>
      <c r="D198" s="86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8"/>
      <c r="V198" s="87"/>
      <c r="W198" s="87"/>
      <c r="X198" s="87"/>
      <c r="Y198" s="87"/>
      <c r="Z198" s="87"/>
      <c r="AA198" s="89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90"/>
      <c r="AS198" s="90"/>
      <c r="AT198" s="90"/>
      <c r="AU198" s="90"/>
      <c r="AV198" s="90"/>
      <c r="AW198" s="90"/>
      <c r="AX198" s="91"/>
      <c r="AY198" s="90"/>
    </row>
    <row r="199" spans="1:51">
      <c r="A199" s="84"/>
      <c r="B199" s="85"/>
      <c r="C199" s="86"/>
      <c r="D199" s="86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8"/>
      <c r="V199" s="87"/>
      <c r="W199" s="87"/>
      <c r="X199" s="87"/>
      <c r="Y199" s="87"/>
      <c r="Z199" s="87"/>
      <c r="AA199" s="89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90"/>
      <c r="AS199" s="90"/>
      <c r="AT199" s="90"/>
      <c r="AU199" s="90"/>
      <c r="AV199" s="90"/>
      <c r="AW199" s="90"/>
      <c r="AX199" s="91"/>
      <c r="AY199" s="90"/>
    </row>
    <row r="200" spans="1:51">
      <c r="A200" s="84"/>
      <c r="B200" s="85"/>
      <c r="C200" s="86"/>
      <c r="D200" s="86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8"/>
      <c r="V200" s="87"/>
      <c r="W200" s="87"/>
      <c r="X200" s="87"/>
      <c r="Y200" s="87"/>
      <c r="Z200" s="87"/>
      <c r="AA200" s="89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90"/>
      <c r="AS200" s="90"/>
      <c r="AT200" s="90"/>
      <c r="AU200" s="90"/>
      <c r="AV200" s="90"/>
      <c r="AW200" s="90"/>
      <c r="AX200" s="91"/>
      <c r="AY200" s="90"/>
    </row>
    <row r="201" spans="1:51">
      <c r="A201" s="84"/>
      <c r="B201" s="85"/>
      <c r="C201" s="86"/>
      <c r="D201" s="86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8"/>
      <c r="V201" s="87"/>
      <c r="W201" s="87"/>
      <c r="X201" s="87"/>
      <c r="Y201" s="87"/>
      <c r="Z201" s="87"/>
      <c r="AA201" s="89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90"/>
      <c r="AS201" s="90"/>
      <c r="AT201" s="90"/>
      <c r="AU201" s="90"/>
      <c r="AV201" s="90"/>
      <c r="AW201" s="90"/>
      <c r="AX201" s="91"/>
      <c r="AY201" s="90"/>
    </row>
    <row r="202" spans="1:51">
      <c r="A202" s="84"/>
      <c r="B202" s="85"/>
      <c r="C202" s="86"/>
      <c r="D202" s="86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8"/>
      <c r="V202" s="87"/>
      <c r="W202" s="87"/>
      <c r="X202" s="87"/>
      <c r="Y202" s="87"/>
      <c r="Z202" s="87"/>
      <c r="AA202" s="89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90"/>
      <c r="AS202" s="90"/>
      <c r="AT202" s="90"/>
      <c r="AU202" s="90"/>
      <c r="AV202" s="90"/>
      <c r="AW202" s="90"/>
      <c r="AX202" s="91"/>
      <c r="AY202" s="90"/>
    </row>
    <row r="203" spans="1:51">
      <c r="A203" s="84"/>
      <c r="B203" s="85"/>
      <c r="C203" s="86"/>
      <c r="D203" s="86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8"/>
      <c r="V203" s="87"/>
      <c r="W203" s="87"/>
      <c r="X203" s="87"/>
      <c r="Y203" s="87"/>
      <c r="Z203" s="87"/>
      <c r="AA203" s="89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90"/>
      <c r="AS203" s="90"/>
      <c r="AT203" s="90"/>
      <c r="AU203" s="90"/>
      <c r="AV203" s="90"/>
      <c r="AW203" s="90"/>
      <c r="AX203" s="91"/>
      <c r="AY203" s="90"/>
    </row>
    <row r="204" spans="1:51">
      <c r="A204" s="84"/>
      <c r="B204" s="85"/>
      <c r="C204" s="86"/>
      <c r="D204" s="86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8"/>
      <c r="V204" s="87"/>
      <c r="W204" s="87"/>
      <c r="X204" s="87"/>
      <c r="Y204" s="87"/>
      <c r="Z204" s="87"/>
      <c r="AA204" s="89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90"/>
      <c r="AS204" s="90"/>
      <c r="AT204" s="90"/>
      <c r="AU204" s="90"/>
      <c r="AV204" s="90"/>
      <c r="AW204" s="90"/>
      <c r="AX204" s="91"/>
      <c r="AY204" s="90"/>
    </row>
    <row r="205" spans="1:51">
      <c r="A205" s="84"/>
      <c r="B205" s="85"/>
      <c r="C205" s="86"/>
      <c r="D205" s="86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8"/>
      <c r="V205" s="87"/>
      <c r="W205" s="87"/>
      <c r="X205" s="87"/>
      <c r="Y205" s="87"/>
      <c r="Z205" s="87"/>
      <c r="AA205" s="89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90"/>
      <c r="AS205" s="90"/>
      <c r="AT205" s="90"/>
      <c r="AU205" s="90"/>
      <c r="AV205" s="90"/>
      <c r="AW205" s="90"/>
      <c r="AX205" s="91"/>
      <c r="AY205" s="90"/>
    </row>
    <row r="206" spans="1:51">
      <c r="A206" s="84"/>
      <c r="B206" s="85"/>
      <c r="C206" s="86"/>
      <c r="D206" s="86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8"/>
      <c r="V206" s="87"/>
      <c r="W206" s="87"/>
      <c r="X206" s="87"/>
      <c r="Y206" s="87"/>
      <c r="Z206" s="87"/>
      <c r="AA206" s="89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90"/>
      <c r="AS206" s="90"/>
      <c r="AT206" s="90"/>
      <c r="AU206" s="90"/>
      <c r="AV206" s="90"/>
      <c r="AW206" s="90"/>
      <c r="AX206" s="91"/>
      <c r="AY206" s="90"/>
    </row>
    <row r="207" spans="1:51">
      <c r="A207" s="84"/>
      <c r="B207" s="85"/>
      <c r="C207" s="86"/>
      <c r="D207" s="86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8"/>
      <c r="V207" s="87"/>
      <c r="W207" s="87"/>
      <c r="X207" s="87"/>
      <c r="Y207" s="87"/>
      <c r="Z207" s="87"/>
      <c r="AA207" s="89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90"/>
      <c r="AS207" s="90"/>
      <c r="AT207" s="90"/>
      <c r="AU207" s="90"/>
      <c r="AV207" s="90"/>
      <c r="AW207" s="90"/>
      <c r="AX207" s="91"/>
      <c r="AY207" s="90"/>
    </row>
    <row r="208" spans="1:51">
      <c r="A208" s="84"/>
      <c r="B208" s="85"/>
      <c r="C208" s="86"/>
      <c r="D208" s="86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8"/>
      <c r="V208" s="87"/>
      <c r="W208" s="87"/>
      <c r="X208" s="87"/>
      <c r="Y208" s="87"/>
      <c r="Z208" s="87"/>
      <c r="AA208" s="89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90"/>
      <c r="AS208" s="90"/>
      <c r="AT208" s="90"/>
      <c r="AU208" s="90"/>
      <c r="AV208" s="90"/>
      <c r="AW208" s="90"/>
      <c r="AX208" s="91"/>
      <c r="AY208" s="90"/>
    </row>
    <row r="209" spans="1:51">
      <c r="A209" s="84"/>
      <c r="B209" s="85"/>
      <c r="C209" s="86"/>
      <c r="D209" s="86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8"/>
      <c r="V209" s="87"/>
      <c r="W209" s="87"/>
      <c r="X209" s="87"/>
      <c r="Y209" s="87"/>
      <c r="Z209" s="87"/>
      <c r="AA209" s="89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90"/>
      <c r="AS209" s="90"/>
      <c r="AT209" s="90"/>
      <c r="AU209" s="90"/>
      <c r="AV209" s="90"/>
      <c r="AW209" s="90"/>
      <c r="AX209" s="91"/>
      <c r="AY209" s="90"/>
    </row>
    <row r="210" spans="1:51">
      <c r="A210" s="84"/>
      <c r="B210" s="85"/>
      <c r="C210" s="86"/>
      <c r="D210" s="86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8"/>
      <c r="V210" s="87"/>
      <c r="W210" s="87"/>
      <c r="X210" s="87"/>
      <c r="Y210" s="87"/>
      <c r="Z210" s="87"/>
      <c r="AA210" s="89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90"/>
      <c r="AS210" s="90"/>
      <c r="AT210" s="90"/>
      <c r="AU210" s="90"/>
      <c r="AV210" s="90"/>
      <c r="AW210" s="90"/>
      <c r="AX210" s="91"/>
      <c r="AY210" s="90"/>
    </row>
    <row r="211" spans="1:51">
      <c r="A211" s="84"/>
      <c r="B211" s="85"/>
      <c r="C211" s="86"/>
      <c r="D211" s="86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8"/>
      <c r="V211" s="87"/>
      <c r="W211" s="87"/>
      <c r="X211" s="87"/>
      <c r="Y211" s="87"/>
      <c r="Z211" s="87"/>
      <c r="AA211" s="89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90"/>
      <c r="AS211" s="90"/>
      <c r="AT211" s="90"/>
      <c r="AU211" s="90"/>
      <c r="AV211" s="90"/>
      <c r="AW211" s="90"/>
      <c r="AX211" s="91"/>
      <c r="AY211" s="90"/>
    </row>
    <row r="212" spans="1:51">
      <c r="A212" s="84"/>
      <c r="B212" s="85"/>
      <c r="C212" s="86"/>
      <c r="D212" s="86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8"/>
      <c r="V212" s="87"/>
      <c r="W212" s="87"/>
      <c r="X212" s="87"/>
      <c r="Y212" s="87"/>
      <c r="Z212" s="87"/>
      <c r="AA212" s="89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90"/>
      <c r="AS212" s="90"/>
      <c r="AT212" s="90"/>
      <c r="AU212" s="90"/>
      <c r="AV212" s="90"/>
      <c r="AW212" s="90"/>
      <c r="AX212" s="91"/>
      <c r="AY212" s="90"/>
    </row>
    <row r="213" spans="1:51">
      <c r="A213" s="84"/>
      <c r="B213" s="85"/>
      <c r="C213" s="86"/>
      <c r="D213" s="86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8"/>
      <c r="V213" s="87"/>
      <c r="W213" s="87"/>
      <c r="X213" s="87"/>
      <c r="Y213" s="87"/>
      <c r="Z213" s="87"/>
      <c r="AA213" s="89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90"/>
      <c r="AS213" s="90"/>
      <c r="AT213" s="90"/>
      <c r="AU213" s="90"/>
      <c r="AV213" s="90"/>
      <c r="AW213" s="90"/>
      <c r="AX213" s="91"/>
      <c r="AY213" s="90"/>
    </row>
    <row r="214" spans="1:51">
      <c r="A214" s="84"/>
      <c r="B214" s="85"/>
      <c r="C214" s="86"/>
      <c r="D214" s="86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8"/>
      <c r="V214" s="87"/>
      <c r="W214" s="87"/>
      <c r="X214" s="87"/>
      <c r="Y214" s="87"/>
      <c r="Z214" s="87"/>
      <c r="AA214" s="89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90"/>
      <c r="AS214" s="90"/>
      <c r="AT214" s="90"/>
      <c r="AU214" s="90"/>
      <c r="AV214" s="90"/>
      <c r="AW214" s="90"/>
      <c r="AX214" s="91"/>
      <c r="AY214" s="90"/>
    </row>
    <row r="215" spans="1:51">
      <c r="A215" s="84"/>
      <c r="B215" s="85"/>
      <c r="C215" s="86"/>
      <c r="D215" s="86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8"/>
      <c r="V215" s="87"/>
      <c r="W215" s="87"/>
      <c r="X215" s="87"/>
      <c r="Y215" s="87"/>
      <c r="Z215" s="87"/>
      <c r="AA215" s="89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90"/>
      <c r="AS215" s="90"/>
      <c r="AT215" s="90"/>
      <c r="AU215" s="90"/>
      <c r="AV215" s="90"/>
      <c r="AW215" s="90"/>
      <c r="AX215" s="91"/>
      <c r="AY215" s="90"/>
    </row>
    <row r="216" spans="1:51">
      <c r="A216" s="84"/>
      <c r="B216" s="85"/>
      <c r="C216" s="86"/>
      <c r="D216" s="86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8"/>
      <c r="V216" s="87"/>
      <c r="W216" s="87"/>
      <c r="X216" s="87"/>
      <c r="Y216" s="87"/>
      <c r="Z216" s="87"/>
      <c r="AA216" s="89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90"/>
      <c r="AS216" s="90"/>
      <c r="AT216" s="90"/>
      <c r="AU216" s="90"/>
      <c r="AV216" s="90"/>
      <c r="AW216" s="90"/>
      <c r="AX216" s="91"/>
      <c r="AY216" s="90"/>
    </row>
    <row r="217" spans="1:51">
      <c r="A217" s="84"/>
      <c r="B217" s="85"/>
      <c r="C217" s="86"/>
      <c r="D217" s="86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8"/>
      <c r="V217" s="87"/>
      <c r="W217" s="87"/>
      <c r="X217" s="87"/>
      <c r="Y217" s="87"/>
      <c r="Z217" s="87"/>
      <c r="AA217" s="89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90"/>
      <c r="AS217" s="90"/>
      <c r="AT217" s="90"/>
      <c r="AU217" s="90"/>
      <c r="AV217" s="90"/>
      <c r="AW217" s="90"/>
      <c r="AX217" s="91"/>
      <c r="AY217" s="90"/>
    </row>
    <row r="218" spans="1:51">
      <c r="A218" s="84"/>
      <c r="B218" s="85"/>
      <c r="C218" s="86"/>
      <c r="D218" s="86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8"/>
      <c r="V218" s="87"/>
      <c r="W218" s="87"/>
      <c r="X218" s="87"/>
      <c r="Y218" s="87"/>
      <c r="Z218" s="87"/>
      <c r="AA218" s="89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90"/>
      <c r="AS218" s="90"/>
      <c r="AT218" s="90"/>
      <c r="AU218" s="90"/>
      <c r="AV218" s="90"/>
      <c r="AW218" s="90"/>
      <c r="AX218" s="91"/>
      <c r="AY218" s="90"/>
    </row>
    <row r="219" spans="1:51">
      <c r="A219" s="84"/>
      <c r="B219" s="85"/>
      <c r="C219" s="86"/>
      <c r="D219" s="86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8"/>
      <c r="V219" s="87"/>
      <c r="W219" s="87"/>
      <c r="X219" s="87"/>
      <c r="Y219" s="87"/>
      <c r="Z219" s="87"/>
      <c r="AA219" s="89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90"/>
      <c r="AS219" s="90"/>
      <c r="AT219" s="90"/>
      <c r="AU219" s="90"/>
      <c r="AV219" s="90"/>
      <c r="AW219" s="90"/>
      <c r="AX219" s="91"/>
      <c r="AY219" s="90"/>
    </row>
    <row r="220" spans="1:51">
      <c r="A220" s="84"/>
      <c r="B220" s="85"/>
      <c r="C220" s="86"/>
      <c r="D220" s="86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8"/>
      <c r="V220" s="87"/>
      <c r="W220" s="87"/>
      <c r="X220" s="87"/>
      <c r="Y220" s="87"/>
      <c r="Z220" s="87"/>
      <c r="AA220" s="89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90"/>
      <c r="AS220" s="90"/>
      <c r="AT220" s="90"/>
      <c r="AU220" s="90"/>
      <c r="AV220" s="90"/>
      <c r="AW220" s="90"/>
      <c r="AX220" s="91"/>
      <c r="AY220" s="90"/>
    </row>
    <row r="221" spans="1:51">
      <c r="A221" s="84"/>
      <c r="B221" s="85"/>
      <c r="C221" s="86"/>
      <c r="D221" s="86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8"/>
      <c r="V221" s="87"/>
      <c r="W221" s="87"/>
      <c r="X221" s="87"/>
      <c r="Y221" s="87"/>
      <c r="Z221" s="87"/>
      <c r="AA221" s="89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90"/>
      <c r="AS221" s="90"/>
      <c r="AT221" s="90"/>
      <c r="AU221" s="90"/>
      <c r="AV221" s="90"/>
      <c r="AW221" s="90"/>
      <c r="AX221" s="91"/>
      <c r="AY221" s="90"/>
    </row>
    <row r="222" spans="1:51">
      <c r="A222" s="84"/>
      <c r="B222" s="85"/>
      <c r="C222" s="86"/>
      <c r="D222" s="86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8"/>
      <c r="V222" s="87"/>
      <c r="W222" s="87"/>
      <c r="X222" s="87"/>
      <c r="Y222" s="87"/>
      <c r="Z222" s="87"/>
      <c r="AA222" s="89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90"/>
      <c r="AS222" s="90"/>
      <c r="AT222" s="90"/>
      <c r="AU222" s="90"/>
      <c r="AV222" s="90"/>
      <c r="AW222" s="90"/>
      <c r="AX222" s="91"/>
      <c r="AY222" s="90"/>
    </row>
    <row r="223" spans="1:51">
      <c r="A223" s="84"/>
      <c r="B223" s="85"/>
      <c r="C223" s="86"/>
      <c r="D223" s="86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8"/>
      <c r="V223" s="87"/>
      <c r="W223" s="87"/>
      <c r="X223" s="87"/>
      <c r="Y223" s="87"/>
      <c r="Z223" s="87"/>
      <c r="AA223" s="89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90"/>
      <c r="AS223" s="90"/>
      <c r="AT223" s="90"/>
      <c r="AU223" s="90"/>
      <c r="AV223" s="90"/>
      <c r="AW223" s="90"/>
      <c r="AX223" s="91"/>
      <c r="AY223" s="90"/>
    </row>
    <row r="224" spans="1:51">
      <c r="A224" s="84"/>
      <c r="B224" s="85"/>
      <c r="C224" s="86"/>
      <c r="D224" s="86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8"/>
      <c r="V224" s="87"/>
      <c r="W224" s="87"/>
      <c r="X224" s="87"/>
      <c r="Y224" s="87"/>
      <c r="Z224" s="87"/>
      <c r="AA224" s="89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90"/>
      <c r="AS224" s="90"/>
      <c r="AT224" s="90"/>
      <c r="AU224" s="90"/>
      <c r="AV224" s="90"/>
      <c r="AW224" s="90"/>
      <c r="AX224" s="91"/>
      <c r="AY224" s="90"/>
    </row>
    <row r="225" spans="1:51">
      <c r="A225" s="84"/>
      <c r="B225" s="85"/>
      <c r="C225" s="86"/>
      <c r="D225" s="86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8"/>
      <c r="V225" s="87"/>
      <c r="W225" s="87"/>
      <c r="X225" s="87"/>
      <c r="Y225" s="87"/>
      <c r="Z225" s="87"/>
      <c r="AA225" s="89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90"/>
      <c r="AS225" s="90"/>
      <c r="AT225" s="90"/>
      <c r="AU225" s="90"/>
      <c r="AV225" s="90"/>
      <c r="AW225" s="90"/>
      <c r="AX225" s="91"/>
      <c r="AY225" s="90"/>
    </row>
    <row r="226" spans="1:51">
      <c r="A226" s="84"/>
      <c r="B226" s="85"/>
      <c r="C226" s="86"/>
      <c r="D226" s="86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8"/>
      <c r="V226" s="87"/>
      <c r="W226" s="87"/>
      <c r="X226" s="87"/>
      <c r="Y226" s="87"/>
      <c r="Z226" s="87"/>
      <c r="AA226" s="89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90"/>
      <c r="AS226" s="90"/>
      <c r="AT226" s="90"/>
      <c r="AU226" s="90"/>
      <c r="AV226" s="90"/>
      <c r="AW226" s="90"/>
      <c r="AX226" s="91"/>
      <c r="AY226" s="90"/>
    </row>
    <row r="227" spans="1:51">
      <c r="A227" s="84"/>
      <c r="B227" s="85"/>
      <c r="C227" s="86"/>
      <c r="D227" s="86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8"/>
      <c r="V227" s="87"/>
      <c r="W227" s="87"/>
      <c r="X227" s="87"/>
      <c r="Y227" s="87"/>
      <c r="Z227" s="87"/>
      <c r="AA227" s="89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90"/>
      <c r="AS227" s="90"/>
      <c r="AT227" s="90"/>
      <c r="AU227" s="90"/>
      <c r="AV227" s="90"/>
      <c r="AW227" s="90"/>
      <c r="AX227" s="91"/>
      <c r="AY227" s="90"/>
    </row>
    <row r="228" spans="1:51">
      <c r="A228" s="84"/>
      <c r="B228" s="85"/>
      <c r="C228" s="86"/>
      <c r="D228" s="86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8"/>
      <c r="V228" s="87"/>
      <c r="W228" s="87"/>
      <c r="X228" s="87"/>
      <c r="Y228" s="87"/>
      <c r="Z228" s="87"/>
      <c r="AA228" s="89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90"/>
      <c r="AS228" s="90"/>
      <c r="AT228" s="90"/>
      <c r="AU228" s="90"/>
      <c r="AV228" s="90"/>
      <c r="AW228" s="90"/>
      <c r="AX228" s="91"/>
      <c r="AY228" s="90"/>
    </row>
    <row r="229" spans="1:51">
      <c r="A229" s="84"/>
      <c r="B229" s="85"/>
      <c r="C229" s="86"/>
      <c r="D229" s="86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8"/>
      <c r="V229" s="87"/>
      <c r="W229" s="87"/>
      <c r="X229" s="87"/>
      <c r="Y229" s="87"/>
      <c r="Z229" s="87"/>
      <c r="AA229" s="89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90"/>
      <c r="AS229" s="90"/>
      <c r="AT229" s="90"/>
      <c r="AU229" s="90"/>
      <c r="AV229" s="90"/>
      <c r="AW229" s="90"/>
      <c r="AX229" s="91"/>
      <c r="AY229" s="90"/>
    </row>
    <row r="230" spans="1:51">
      <c r="A230" s="84"/>
      <c r="B230" s="85"/>
      <c r="C230" s="86"/>
      <c r="D230" s="86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8"/>
      <c r="V230" s="87"/>
      <c r="W230" s="87"/>
      <c r="X230" s="87"/>
      <c r="Y230" s="87"/>
      <c r="Z230" s="87"/>
      <c r="AA230" s="89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90"/>
      <c r="AS230" s="90"/>
      <c r="AT230" s="90"/>
      <c r="AU230" s="90"/>
      <c r="AV230" s="90"/>
      <c r="AW230" s="90"/>
      <c r="AX230" s="91"/>
      <c r="AY230" s="90"/>
    </row>
    <row r="231" spans="1:51">
      <c r="A231" s="84"/>
      <c r="B231" s="85"/>
      <c r="C231" s="86"/>
      <c r="D231" s="86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8"/>
      <c r="V231" s="87"/>
      <c r="W231" s="87"/>
      <c r="X231" s="87"/>
      <c r="Y231" s="87"/>
      <c r="Z231" s="87"/>
      <c r="AA231" s="89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90"/>
      <c r="AS231" s="90"/>
      <c r="AT231" s="90"/>
      <c r="AU231" s="90"/>
      <c r="AV231" s="90"/>
      <c r="AW231" s="90"/>
      <c r="AX231" s="91"/>
      <c r="AY231" s="90"/>
    </row>
    <row r="232" spans="1:51">
      <c r="A232" s="84"/>
      <c r="B232" s="85"/>
      <c r="C232" s="86"/>
      <c r="D232" s="86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8"/>
      <c r="V232" s="87"/>
      <c r="W232" s="87"/>
      <c r="X232" s="87"/>
      <c r="Y232" s="87"/>
      <c r="Z232" s="87"/>
      <c r="AA232" s="89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90"/>
      <c r="AS232" s="90"/>
      <c r="AT232" s="90"/>
      <c r="AU232" s="90"/>
      <c r="AV232" s="90"/>
      <c r="AW232" s="90"/>
      <c r="AX232" s="91"/>
      <c r="AY232" s="90"/>
    </row>
    <row r="233" spans="1:51">
      <c r="A233" s="84"/>
      <c r="B233" s="85"/>
      <c r="C233" s="86"/>
      <c r="D233" s="86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8"/>
      <c r="V233" s="87"/>
      <c r="W233" s="87"/>
      <c r="X233" s="87"/>
      <c r="Y233" s="87"/>
      <c r="Z233" s="87"/>
      <c r="AA233" s="89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90"/>
      <c r="AS233" s="90"/>
      <c r="AT233" s="90"/>
      <c r="AU233" s="90"/>
      <c r="AV233" s="90"/>
      <c r="AW233" s="90"/>
      <c r="AX233" s="91"/>
      <c r="AY233" s="90"/>
    </row>
    <row r="234" spans="1:51">
      <c r="A234" s="84"/>
      <c r="B234" s="85"/>
      <c r="C234" s="86"/>
      <c r="D234" s="86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8"/>
      <c r="V234" s="87"/>
      <c r="W234" s="87"/>
      <c r="X234" s="87"/>
      <c r="Y234" s="87"/>
      <c r="Z234" s="87"/>
      <c r="AA234" s="89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90"/>
      <c r="AS234" s="90"/>
      <c r="AT234" s="90"/>
      <c r="AU234" s="90"/>
      <c r="AV234" s="90"/>
      <c r="AW234" s="90"/>
      <c r="AX234" s="91"/>
      <c r="AY234" s="90"/>
    </row>
    <row r="235" spans="1:51">
      <c r="A235" s="84"/>
      <c r="B235" s="85"/>
      <c r="C235" s="86"/>
      <c r="D235" s="86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8"/>
      <c r="V235" s="87"/>
      <c r="W235" s="87"/>
      <c r="X235" s="87"/>
      <c r="Y235" s="87"/>
      <c r="Z235" s="87"/>
      <c r="AA235" s="89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90"/>
      <c r="AS235" s="90"/>
      <c r="AT235" s="90"/>
      <c r="AU235" s="90"/>
      <c r="AV235" s="90"/>
      <c r="AW235" s="90"/>
      <c r="AX235" s="91"/>
      <c r="AY235" s="90"/>
    </row>
    <row r="236" spans="1:51">
      <c r="A236" s="84"/>
      <c r="B236" s="85"/>
      <c r="C236" s="86"/>
      <c r="D236" s="86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8"/>
      <c r="V236" s="87"/>
      <c r="W236" s="87"/>
      <c r="X236" s="87"/>
      <c r="Y236" s="87"/>
      <c r="Z236" s="87"/>
      <c r="AA236" s="89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90"/>
      <c r="AS236" s="90"/>
      <c r="AT236" s="90"/>
      <c r="AU236" s="90"/>
      <c r="AV236" s="90"/>
      <c r="AW236" s="90"/>
      <c r="AX236" s="91"/>
      <c r="AY236" s="90"/>
    </row>
    <row r="237" spans="1:51">
      <c r="A237" s="84"/>
      <c r="B237" s="85"/>
      <c r="C237" s="86"/>
      <c r="D237" s="86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8"/>
      <c r="V237" s="87"/>
      <c r="W237" s="87"/>
      <c r="X237" s="87"/>
      <c r="Y237" s="87"/>
      <c r="Z237" s="87"/>
      <c r="AA237" s="89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90"/>
      <c r="AS237" s="90"/>
      <c r="AT237" s="90"/>
      <c r="AU237" s="90"/>
      <c r="AV237" s="90"/>
      <c r="AW237" s="90"/>
      <c r="AX237" s="91"/>
      <c r="AY237" s="90"/>
    </row>
    <row r="238" spans="1:51">
      <c r="A238" s="84"/>
      <c r="B238" s="85"/>
      <c r="C238" s="86"/>
      <c r="D238" s="86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8"/>
      <c r="V238" s="87"/>
      <c r="W238" s="87"/>
      <c r="X238" s="87"/>
      <c r="Y238" s="87"/>
      <c r="Z238" s="87"/>
      <c r="AA238" s="89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90"/>
      <c r="AS238" s="90"/>
      <c r="AT238" s="90"/>
      <c r="AU238" s="90"/>
      <c r="AV238" s="90"/>
      <c r="AW238" s="90"/>
      <c r="AX238" s="91"/>
      <c r="AY238" s="90"/>
    </row>
    <row r="239" spans="1:51">
      <c r="A239" s="84"/>
      <c r="B239" s="85"/>
      <c r="C239" s="86"/>
      <c r="D239" s="86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8"/>
      <c r="V239" s="87"/>
      <c r="W239" s="87"/>
      <c r="X239" s="87"/>
      <c r="Y239" s="87"/>
      <c r="Z239" s="87"/>
      <c r="AA239" s="89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90"/>
      <c r="AS239" s="90"/>
      <c r="AT239" s="90"/>
      <c r="AU239" s="90"/>
      <c r="AV239" s="90"/>
      <c r="AW239" s="90"/>
      <c r="AX239" s="91"/>
      <c r="AY239" s="90"/>
    </row>
    <row r="240" spans="1:51">
      <c r="A240" s="84"/>
      <c r="B240" s="85"/>
      <c r="C240" s="86"/>
      <c r="D240" s="86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8"/>
      <c r="V240" s="87"/>
      <c r="W240" s="87"/>
      <c r="X240" s="87"/>
      <c r="Y240" s="87"/>
      <c r="Z240" s="87"/>
      <c r="AA240" s="89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90"/>
      <c r="AS240" s="90"/>
      <c r="AT240" s="90"/>
      <c r="AU240" s="90"/>
      <c r="AV240" s="90"/>
      <c r="AW240" s="90"/>
      <c r="AX240" s="91"/>
      <c r="AY240" s="90"/>
    </row>
    <row r="241" spans="1:51">
      <c r="A241" s="84"/>
      <c r="B241" s="85"/>
      <c r="C241" s="86"/>
      <c r="D241" s="86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8"/>
      <c r="V241" s="87"/>
      <c r="W241" s="87"/>
      <c r="X241" s="87"/>
      <c r="Y241" s="87"/>
      <c r="Z241" s="87"/>
      <c r="AA241" s="89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90"/>
      <c r="AS241" s="90"/>
      <c r="AT241" s="90"/>
      <c r="AU241" s="90"/>
      <c r="AV241" s="90"/>
      <c r="AW241" s="90"/>
      <c r="AX241" s="91"/>
      <c r="AY241" s="90"/>
    </row>
    <row r="242" spans="1:51">
      <c r="A242" s="84"/>
      <c r="B242" s="85"/>
      <c r="C242" s="86"/>
      <c r="D242" s="86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8"/>
      <c r="V242" s="87"/>
      <c r="W242" s="87"/>
      <c r="X242" s="87"/>
      <c r="Y242" s="87"/>
      <c r="Z242" s="87"/>
      <c r="AA242" s="89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90"/>
      <c r="AS242" s="90"/>
      <c r="AT242" s="90"/>
      <c r="AU242" s="90"/>
      <c r="AV242" s="90"/>
      <c r="AW242" s="90"/>
      <c r="AX242" s="91"/>
      <c r="AY242" s="90"/>
    </row>
    <row r="243" spans="1:51">
      <c r="A243" s="84"/>
      <c r="B243" s="85"/>
      <c r="C243" s="86"/>
      <c r="D243" s="86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8"/>
      <c r="V243" s="87"/>
      <c r="W243" s="87"/>
      <c r="X243" s="87"/>
      <c r="Y243" s="87"/>
      <c r="Z243" s="87"/>
      <c r="AA243" s="89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90"/>
      <c r="AS243" s="90"/>
      <c r="AT243" s="90"/>
      <c r="AU243" s="90"/>
      <c r="AV243" s="90"/>
      <c r="AW243" s="90"/>
      <c r="AX243" s="91"/>
      <c r="AY243" s="90"/>
    </row>
    <row r="244" spans="1:51">
      <c r="A244" s="84"/>
      <c r="B244" s="85"/>
      <c r="C244" s="86"/>
      <c r="D244" s="86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8"/>
      <c r="V244" s="87"/>
      <c r="W244" s="87"/>
      <c r="X244" s="87"/>
      <c r="Y244" s="87"/>
      <c r="Z244" s="87"/>
      <c r="AA244" s="89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90"/>
      <c r="AS244" s="90"/>
      <c r="AT244" s="90"/>
      <c r="AU244" s="90"/>
      <c r="AV244" s="90"/>
      <c r="AW244" s="90"/>
      <c r="AX244" s="91"/>
      <c r="AY244" s="90"/>
    </row>
    <row r="245" spans="1:51">
      <c r="A245" s="84"/>
      <c r="B245" s="85"/>
      <c r="C245" s="86"/>
      <c r="D245" s="86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8"/>
      <c r="V245" s="87"/>
      <c r="W245" s="87"/>
      <c r="X245" s="87"/>
      <c r="Y245" s="87"/>
      <c r="Z245" s="87"/>
      <c r="AA245" s="89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90"/>
      <c r="AS245" s="90"/>
      <c r="AT245" s="90"/>
      <c r="AU245" s="90"/>
      <c r="AV245" s="90"/>
      <c r="AW245" s="90"/>
      <c r="AX245" s="91"/>
      <c r="AY245" s="90"/>
    </row>
    <row r="246" spans="1:51">
      <c r="A246" s="84"/>
      <c r="B246" s="85"/>
      <c r="C246" s="86"/>
      <c r="D246" s="86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8"/>
      <c r="V246" s="87"/>
      <c r="W246" s="87"/>
      <c r="X246" s="87"/>
      <c r="Y246" s="87"/>
      <c r="Z246" s="87"/>
      <c r="AA246" s="89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90"/>
      <c r="AS246" s="90"/>
      <c r="AT246" s="90"/>
      <c r="AU246" s="90"/>
      <c r="AV246" s="90"/>
      <c r="AW246" s="90"/>
      <c r="AX246" s="91"/>
      <c r="AY246" s="90"/>
    </row>
    <row r="247" spans="1:51">
      <c r="A247" s="84"/>
      <c r="B247" s="85"/>
      <c r="C247" s="86"/>
      <c r="D247" s="86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8"/>
      <c r="V247" s="87"/>
      <c r="W247" s="87"/>
      <c r="X247" s="87"/>
      <c r="Y247" s="87"/>
      <c r="Z247" s="87"/>
      <c r="AA247" s="89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90"/>
      <c r="AS247" s="90"/>
      <c r="AT247" s="90"/>
      <c r="AU247" s="90"/>
      <c r="AV247" s="90"/>
      <c r="AW247" s="90"/>
      <c r="AX247" s="91"/>
      <c r="AY247" s="90"/>
    </row>
    <row r="248" spans="1:51">
      <c r="A248" s="84"/>
      <c r="B248" s="85"/>
      <c r="C248" s="86"/>
      <c r="D248" s="86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8"/>
      <c r="V248" s="87"/>
      <c r="W248" s="87"/>
      <c r="X248" s="87"/>
      <c r="Y248" s="87"/>
      <c r="Z248" s="87"/>
      <c r="AA248" s="89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90"/>
      <c r="AS248" s="90"/>
      <c r="AT248" s="90"/>
      <c r="AU248" s="90"/>
      <c r="AV248" s="90"/>
      <c r="AW248" s="90"/>
      <c r="AX248" s="91"/>
      <c r="AY248" s="90"/>
    </row>
    <row r="249" spans="1:51">
      <c r="A249" s="84"/>
      <c r="B249" s="85"/>
      <c r="C249" s="86"/>
      <c r="D249" s="86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8"/>
      <c r="V249" s="87"/>
      <c r="W249" s="87"/>
      <c r="X249" s="87"/>
      <c r="Y249" s="87"/>
      <c r="Z249" s="87"/>
      <c r="AA249" s="89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90"/>
      <c r="AS249" s="90"/>
      <c r="AT249" s="90"/>
      <c r="AU249" s="90"/>
      <c r="AV249" s="90"/>
      <c r="AW249" s="90"/>
      <c r="AX249" s="91"/>
      <c r="AY249" s="90"/>
    </row>
    <row r="250" spans="1:51">
      <c r="A250" s="84"/>
      <c r="B250" s="85"/>
      <c r="C250" s="86"/>
      <c r="D250" s="86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8"/>
      <c r="V250" s="87"/>
      <c r="W250" s="87"/>
      <c r="X250" s="87"/>
      <c r="Y250" s="87"/>
      <c r="Z250" s="87"/>
      <c r="AA250" s="89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90"/>
      <c r="AS250" s="90"/>
      <c r="AT250" s="90"/>
      <c r="AU250" s="90"/>
      <c r="AV250" s="90"/>
      <c r="AW250" s="90"/>
      <c r="AX250" s="91"/>
      <c r="AY250" s="90"/>
    </row>
    <row r="251" spans="1:51">
      <c r="A251" s="84"/>
      <c r="B251" s="85"/>
      <c r="C251" s="86"/>
      <c r="D251" s="86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8"/>
      <c r="V251" s="87"/>
      <c r="W251" s="87"/>
      <c r="X251" s="87"/>
      <c r="Y251" s="87"/>
      <c r="Z251" s="87"/>
      <c r="AA251" s="89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90"/>
      <c r="AS251" s="90"/>
      <c r="AT251" s="90"/>
      <c r="AU251" s="90"/>
      <c r="AV251" s="90"/>
      <c r="AW251" s="90"/>
      <c r="AX251" s="91"/>
      <c r="AY251" s="90"/>
    </row>
    <row r="252" spans="1:51">
      <c r="A252" s="84"/>
      <c r="B252" s="85"/>
      <c r="C252" s="86"/>
      <c r="D252" s="86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8"/>
      <c r="V252" s="87"/>
      <c r="W252" s="87"/>
      <c r="X252" s="87"/>
      <c r="Y252" s="87"/>
      <c r="Z252" s="87"/>
      <c r="AA252" s="89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90"/>
      <c r="AS252" s="90"/>
      <c r="AT252" s="90"/>
      <c r="AU252" s="90"/>
      <c r="AV252" s="90"/>
      <c r="AW252" s="90"/>
      <c r="AX252" s="91"/>
      <c r="AY252" s="90"/>
    </row>
    <row r="253" spans="1:51">
      <c r="A253" s="84"/>
      <c r="B253" s="85"/>
      <c r="C253" s="86"/>
      <c r="D253" s="86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8"/>
      <c r="V253" s="87"/>
      <c r="W253" s="87"/>
      <c r="X253" s="87"/>
      <c r="Y253" s="87"/>
      <c r="Z253" s="87"/>
      <c r="AA253" s="89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90"/>
      <c r="AS253" s="90"/>
      <c r="AT253" s="90"/>
      <c r="AU253" s="90"/>
      <c r="AV253" s="90"/>
      <c r="AW253" s="90"/>
      <c r="AX253" s="91"/>
      <c r="AY253" s="90"/>
    </row>
    <row r="254" spans="1:51">
      <c r="A254" s="84"/>
      <c r="B254" s="85"/>
      <c r="C254" s="86"/>
      <c r="D254" s="86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8"/>
      <c r="V254" s="87"/>
      <c r="W254" s="87"/>
      <c r="X254" s="87"/>
      <c r="Y254" s="87"/>
      <c r="Z254" s="87"/>
      <c r="AA254" s="89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90"/>
      <c r="AS254" s="90"/>
      <c r="AT254" s="90"/>
      <c r="AU254" s="90"/>
      <c r="AV254" s="90"/>
      <c r="AW254" s="90"/>
      <c r="AX254" s="91"/>
      <c r="AY254" s="90"/>
    </row>
    <row r="255" spans="1:51">
      <c r="A255" s="84"/>
      <c r="B255" s="85"/>
      <c r="C255" s="86"/>
      <c r="D255" s="86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8"/>
      <c r="V255" s="87"/>
      <c r="W255" s="87"/>
      <c r="X255" s="87"/>
      <c r="Y255" s="87"/>
      <c r="Z255" s="87"/>
      <c r="AA255" s="89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90"/>
      <c r="AS255" s="90"/>
      <c r="AT255" s="90"/>
      <c r="AU255" s="90"/>
      <c r="AV255" s="90"/>
      <c r="AW255" s="90"/>
      <c r="AX255" s="91"/>
      <c r="AY255" s="90"/>
    </row>
    <row r="256" spans="1:51">
      <c r="A256" s="84"/>
      <c r="B256" s="85"/>
      <c r="C256" s="86"/>
      <c r="D256" s="86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8"/>
      <c r="V256" s="87"/>
      <c r="W256" s="87"/>
      <c r="X256" s="87"/>
      <c r="Y256" s="87"/>
      <c r="Z256" s="87"/>
      <c r="AA256" s="89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90"/>
      <c r="AS256" s="90"/>
      <c r="AT256" s="90"/>
      <c r="AU256" s="90"/>
      <c r="AV256" s="90"/>
      <c r="AW256" s="90"/>
      <c r="AX256" s="91"/>
      <c r="AY256" s="90"/>
    </row>
    <row r="257" spans="1:51">
      <c r="A257" s="84"/>
      <c r="B257" s="85"/>
      <c r="C257" s="86"/>
      <c r="D257" s="86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8"/>
      <c r="V257" s="87"/>
      <c r="W257" s="87"/>
      <c r="X257" s="87"/>
      <c r="Y257" s="87"/>
      <c r="Z257" s="87"/>
      <c r="AA257" s="89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90"/>
      <c r="AS257" s="90"/>
      <c r="AT257" s="90"/>
      <c r="AU257" s="90"/>
      <c r="AV257" s="90"/>
      <c r="AW257" s="90"/>
      <c r="AX257" s="91"/>
      <c r="AY257" s="90"/>
    </row>
    <row r="258" spans="1:51">
      <c r="A258" s="84"/>
      <c r="B258" s="85"/>
      <c r="C258" s="86"/>
      <c r="D258" s="86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8"/>
      <c r="V258" s="87"/>
      <c r="W258" s="87"/>
      <c r="X258" s="87"/>
      <c r="Y258" s="87"/>
      <c r="Z258" s="87"/>
      <c r="AA258" s="89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90"/>
      <c r="AS258" s="90"/>
      <c r="AT258" s="90"/>
      <c r="AU258" s="90"/>
      <c r="AV258" s="90"/>
      <c r="AW258" s="90"/>
      <c r="AX258" s="91"/>
      <c r="AY258" s="90"/>
    </row>
    <row r="259" spans="1:51">
      <c r="A259" s="84"/>
      <c r="B259" s="85"/>
      <c r="C259" s="86"/>
      <c r="D259" s="86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8"/>
      <c r="V259" s="87"/>
      <c r="W259" s="87"/>
      <c r="X259" s="87"/>
      <c r="Y259" s="87"/>
      <c r="Z259" s="87"/>
      <c r="AA259" s="89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90"/>
      <c r="AS259" s="90"/>
      <c r="AT259" s="90"/>
      <c r="AU259" s="90"/>
      <c r="AV259" s="90"/>
      <c r="AW259" s="90"/>
      <c r="AX259" s="91"/>
      <c r="AY259" s="90"/>
    </row>
    <row r="260" spans="1:51">
      <c r="A260" s="84"/>
      <c r="B260" s="85"/>
      <c r="C260" s="86"/>
      <c r="D260" s="86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8"/>
      <c r="V260" s="87"/>
      <c r="W260" s="87"/>
      <c r="X260" s="87"/>
      <c r="Y260" s="87"/>
      <c r="Z260" s="87"/>
      <c r="AA260" s="89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90"/>
      <c r="AS260" s="90"/>
      <c r="AT260" s="90"/>
      <c r="AU260" s="90"/>
      <c r="AV260" s="90"/>
      <c r="AW260" s="90"/>
      <c r="AX260" s="91"/>
      <c r="AY260" s="90"/>
    </row>
    <row r="261" spans="1:51">
      <c r="A261" s="84"/>
      <c r="B261" s="85"/>
      <c r="C261" s="86"/>
      <c r="D261" s="86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8"/>
      <c r="V261" s="87"/>
      <c r="W261" s="87"/>
      <c r="X261" s="87"/>
      <c r="Y261" s="87"/>
      <c r="Z261" s="87"/>
      <c r="AA261" s="89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90"/>
      <c r="AS261" s="90"/>
      <c r="AT261" s="90"/>
      <c r="AU261" s="90"/>
      <c r="AV261" s="90"/>
      <c r="AW261" s="90"/>
      <c r="AX261" s="91"/>
      <c r="AY261" s="90"/>
    </row>
    <row r="262" spans="1:51">
      <c r="A262" s="84"/>
      <c r="B262" s="85"/>
      <c r="C262" s="86"/>
      <c r="D262" s="86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8"/>
      <c r="V262" s="87"/>
      <c r="W262" s="87"/>
      <c r="X262" s="87"/>
      <c r="Y262" s="87"/>
      <c r="Z262" s="87"/>
      <c r="AA262" s="89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90"/>
      <c r="AS262" s="90"/>
      <c r="AT262" s="90"/>
      <c r="AU262" s="90"/>
      <c r="AV262" s="90"/>
      <c r="AW262" s="90"/>
      <c r="AX262" s="91"/>
      <c r="AY262" s="90"/>
    </row>
    <row r="263" spans="1:51">
      <c r="A263" s="84"/>
      <c r="B263" s="85"/>
      <c r="C263" s="86"/>
      <c r="D263" s="86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8"/>
      <c r="V263" s="87"/>
      <c r="W263" s="87"/>
      <c r="X263" s="87"/>
      <c r="Y263" s="87"/>
      <c r="Z263" s="87"/>
      <c r="AA263" s="89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90"/>
      <c r="AS263" s="90"/>
      <c r="AT263" s="90"/>
      <c r="AU263" s="90"/>
      <c r="AV263" s="90"/>
      <c r="AW263" s="90"/>
      <c r="AX263" s="91"/>
      <c r="AY263" s="90"/>
    </row>
    <row r="264" spans="1:51">
      <c r="A264" s="84"/>
      <c r="B264" s="85"/>
      <c r="C264" s="86"/>
      <c r="D264" s="86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8"/>
      <c r="V264" s="87"/>
      <c r="W264" s="87"/>
      <c r="X264" s="87"/>
      <c r="Y264" s="87"/>
      <c r="Z264" s="87"/>
      <c r="AA264" s="89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90"/>
      <c r="AS264" s="90"/>
      <c r="AT264" s="90"/>
      <c r="AU264" s="90"/>
      <c r="AV264" s="90"/>
      <c r="AW264" s="90"/>
      <c r="AX264" s="91"/>
      <c r="AY264" s="90"/>
    </row>
    <row r="265" spans="1:51">
      <c r="A265" s="84"/>
      <c r="B265" s="85"/>
      <c r="C265" s="86"/>
      <c r="D265" s="86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8"/>
      <c r="V265" s="87"/>
      <c r="W265" s="87"/>
      <c r="X265" s="87"/>
      <c r="Y265" s="87"/>
      <c r="Z265" s="87"/>
      <c r="AA265" s="89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90"/>
      <c r="AS265" s="90"/>
      <c r="AT265" s="90"/>
      <c r="AU265" s="90"/>
      <c r="AV265" s="90"/>
      <c r="AW265" s="90"/>
      <c r="AX265" s="91"/>
      <c r="AY265" s="90"/>
    </row>
    <row r="266" spans="1:51">
      <c r="A266" s="84"/>
      <c r="B266" s="85"/>
      <c r="C266" s="86"/>
      <c r="D266" s="86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8"/>
      <c r="V266" s="87"/>
      <c r="W266" s="87"/>
      <c r="X266" s="87"/>
      <c r="Y266" s="87"/>
      <c r="Z266" s="87"/>
      <c r="AA266" s="89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90"/>
      <c r="AS266" s="90"/>
      <c r="AT266" s="90"/>
      <c r="AU266" s="90"/>
      <c r="AV266" s="90"/>
      <c r="AW266" s="90"/>
      <c r="AX266" s="91"/>
      <c r="AY266" s="90"/>
    </row>
    <row r="267" spans="1:51">
      <c r="A267" s="84"/>
      <c r="B267" s="85"/>
      <c r="C267" s="86"/>
      <c r="D267" s="86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8"/>
      <c r="V267" s="87"/>
      <c r="W267" s="87"/>
      <c r="X267" s="87"/>
      <c r="Y267" s="87"/>
      <c r="Z267" s="87"/>
      <c r="AA267" s="89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90"/>
      <c r="AS267" s="90"/>
      <c r="AT267" s="90"/>
      <c r="AU267" s="90"/>
      <c r="AV267" s="90"/>
      <c r="AW267" s="90"/>
      <c r="AX267" s="91"/>
      <c r="AY267" s="90"/>
    </row>
    <row r="268" spans="1:51">
      <c r="A268" s="84"/>
      <c r="B268" s="85"/>
      <c r="C268" s="86"/>
      <c r="D268" s="86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8"/>
      <c r="V268" s="87"/>
      <c r="W268" s="87"/>
      <c r="X268" s="87"/>
      <c r="Y268" s="87"/>
      <c r="Z268" s="87"/>
      <c r="AA268" s="89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90"/>
      <c r="AS268" s="90"/>
      <c r="AT268" s="90"/>
      <c r="AU268" s="90"/>
      <c r="AV268" s="90"/>
      <c r="AW268" s="90"/>
      <c r="AX268" s="91"/>
      <c r="AY268" s="90"/>
    </row>
    <row r="269" spans="1:51">
      <c r="A269" s="84"/>
      <c r="B269" s="85"/>
      <c r="C269" s="86"/>
      <c r="D269" s="86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8"/>
      <c r="V269" s="87"/>
      <c r="W269" s="87"/>
      <c r="X269" s="87"/>
      <c r="Y269" s="87"/>
      <c r="Z269" s="87"/>
      <c r="AA269" s="89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90"/>
      <c r="AS269" s="90"/>
      <c r="AT269" s="90"/>
      <c r="AU269" s="90"/>
      <c r="AV269" s="90"/>
      <c r="AW269" s="90"/>
      <c r="AX269" s="91"/>
      <c r="AY269" s="90"/>
    </row>
    <row r="270" spans="1:51">
      <c r="A270" s="84"/>
      <c r="B270" s="85"/>
      <c r="C270" s="86"/>
      <c r="D270" s="86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8"/>
      <c r="V270" s="87"/>
      <c r="W270" s="87"/>
      <c r="X270" s="87"/>
      <c r="Y270" s="87"/>
      <c r="Z270" s="87"/>
      <c r="AA270" s="89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90"/>
      <c r="AS270" s="90"/>
      <c r="AT270" s="90"/>
      <c r="AU270" s="90"/>
      <c r="AV270" s="90"/>
      <c r="AW270" s="90"/>
      <c r="AX270" s="91"/>
      <c r="AY270" s="90"/>
    </row>
  </sheetData>
  <autoFilter xmlns:etc="http://www.wps.cn/officeDocument/2017/etCustomData" ref="A5:AY31" etc:filterBottomFollowUsedRange="0">
    <extLst/>
  </autoFilter>
  <mergeCells count="35">
    <mergeCell ref="A3:W3"/>
    <mergeCell ref="M4:N4"/>
    <mergeCell ref="Q4:S4"/>
    <mergeCell ref="X4:AF4"/>
    <mergeCell ref="AG4:AQ4"/>
    <mergeCell ref="A20:C20"/>
    <mergeCell ref="A30:C30"/>
    <mergeCell ref="A31:C31"/>
    <mergeCell ref="AR31:AY3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P4:P5"/>
    <mergeCell ref="T4:T5"/>
    <mergeCell ref="U4:U5"/>
    <mergeCell ref="V4:V5"/>
    <mergeCell ref="W4:W5"/>
    <mergeCell ref="AR4:AR5"/>
    <mergeCell ref="AS4:AS5"/>
    <mergeCell ref="AT4:AT5"/>
    <mergeCell ref="AU4:AU5"/>
    <mergeCell ref="AV4:AV5"/>
    <mergeCell ref="AW4:AW5"/>
    <mergeCell ref="AX4:AX5"/>
    <mergeCell ref="AY4:AY5"/>
    <mergeCell ref="A1:W2"/>
  </mergeCells>
  <printOptions horizontalCentered="1"/>
  <pageMargins left="0.196527777777778" right="0.314583333333333" top="0.393055555555556" bottom="0.393055555555556" header="0.275" footer="0.275"/>
  <pageSetup paperSize="9" scale="58" fitToHeight="0" orientation="landscape"/>
  <headerFooter/>
  <ignoredErrors>
    <ignoredError sqref="D6:D13 D15:D16 D20:D30 AV30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lizhongmei</dc:creator>
  <cp:lastModifiedBy>胡馨</cp:lastModifiedBy>
  <dcterms:created xsi:type="dcterms:W3CDTF">2019-09-10T02:31:00Z</dcterms:created>
  <dcterms:modified xsi:type="dcterms:W3CDTF">2026-05-23T03:16:54Z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5E8F26A8A66B42FE96998E2468F7DD27_13</vt:lpwstr>
  </property>
  <property fmtid="{D5CDD505-2E9C-101B-9397-08002B2CF9AE}" pid="4" name="CalculationRule">
    <vt:i4>0</vt:i4>
  </property>
</Properties>
</file>