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600" windowHeight="6430" activeTab="1"/>
  </bookViews>
  <sheets>
    <sheet name="总表" sheetId="8" r:id="rId1"/>
    <sheet name="运营商事业部（按项目分）" sheetId="11" r:id="rId2"/>
    <sheet name="花名册" sheetId="10" r:id="rId3"/>
  </sheets>
  <externalReferences>
    <externalReference r:id="rId4"/>
  </externalReferences>
  <definedNames>
    <definedName name="_xlnm._FilterDatabase" localSheetId="1" hidden="1">'运营商事业部（按项目分）'!$A$2:$J$56</definedName>
    <definedName name="_xlnm._FilterDatabase" localSheetId="2" hidden="1">花名册!$A$3:$XFC$89</definedName>
    <definedName name="覆盖场景">[1]枚举值sheet!$D$1:$D$50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yun</author>
  </authors>
  <commentList>
    <comment ref="F7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+3注册人员</t>
        </r>
      </text>
    </comment>
    <comment ref="G7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+1注册人员</t>
        </r>
      </text>
    </comment>
  </commentList>
</comments>
</file>

<file path=xl/comments2.xml><?xml version="1.0" encoding="utf-8"?>
<comments xmlns="http://schemas.openxmlformats.org/spreadsheetml/2006/main">
  <authors>
    <author>yun</author>
  </authors>
  <commentList>
    <comment ref="D3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实际发放工资人数</t>
        </r>
      </text>
    </comment>
    <comment ref="D7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花名册较工资表多3人，梅相坤目前在纠纷当中，未发工资；王威自离，未发工资；柴长根未发3月工资</t>
        </r>
      </text>
    </comment>
    <comment ref="D27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王林建3.31入职，未发3月工资</t>
        </r>
      </text>
    </comment>
    <comment ref="D28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赵佳金3.31入职，未发3月工资</t>
        </r>
      </text>
    </comment>
    <comment ref="D29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王金夫3.26入职，未发3月工资</t>
        </r>
      </text>
    </comment>
    <comment ref="D42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商洛3人，汉中3人</t>
        </r>
      </text>
    </comment>
    <comment ref="D43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呼伦贝尔工程本月无工资</t>
        </r>
      </text>
    </comment>
    <comment ref="D46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高凯3.1离职，未发3月工资</t>
        </r>
      </text>
    </comment>
    <comment ref="D49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尼木加甫4.1入职，无3月工资</t>
        </r>
      </text>
    </comment>
  </commentList>
</comments>
</file>

<file path=xl/comments3.xml><?xml version="1.0" encoding="utf-8"?>
<comments xmlns="http://schemas.openxmlformats.org/spreadsheetml/2006/main">
  <authors>
    <author>yun</author>
  </authors>
  <commentList>
    <comment ref="D31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实习</t>
        </r>
      </text>
    </comment>
    <comment ref="D32" authorId="0">
      <text>
        <r>
          <rPr>
            <b/>
            <sz val="9"/>
            <rFont val="宋体"/>
            <charset val="134"/>
          </rPr>
          <t>yun:</t>
        </r>
        <r>
          <rPr>
            <sz val="9"/>
            <rFont val="宋体"/>
            <charset val="134"/>
          </rPr>
          <t xml:space="preserve">
实习生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<sst xmlns="http://schemas.openxmlformats.org/spreadsheetml/2006/main" count="304" uniqueCount="99">
  <si>
    <t>2026年4月人力资源数据分析表（总表）</t>
  </si>
  <si>
    <t>部门</t>
  </si>
  <si>
    <t>人员分类</t>
  </si>
  <si>
    <t>4月人数</t>
  </si>
  <si>
    <t>占比</t>
  </si>
  <si>
    <t>与上月同期比</t>
  </si>
  <si>
    <t>大专以上人员</t>
  </si>
  <si>
    <t>大专</t>
  </si>
  <si>
    <t>电工证</t>
  </si>
  <si>
    <t>登高证</t>
  </si>
  <si>
    <t>焊工证</t>
  </si>
  <si>
    <t>安全员(通管局）</t>
  </si>
  <si>
    <t>安全员（建设厅）</t>
  </si>
  <si>
    <t>一级建造师</t>
  </si>
  <si>
    <t>二级建造师</t>
  </si>
  <si>
    <t>合计</t>
  </si>
  <si>
    <t>管理人员</t>
  </si>
  <si>
    <t>商务人员</t>
  </si>
  <si>
    <t>生产人员</t>
  </si>
  <si>
    <t>小计</t>
  </si>
  <si>
    <t>/</t>
  </si>
  <si>
    <t>总部</t>
  </si>
  <si>
    <t>运营商事业部</t>
  </si>
  <si>
    <t>公路事业部</t>
  </si>
  <si>
    <t>轨道交通事业部</t>
  </si>
  <si>
    <t>电力事业部</t>
  </si>
  <si>
    <t>政企事业部</t>
  </si>
  <si>
    <t>装备事业部</t>
  </si>
  <si>
    <t>低空经济事业部</t>
  </si>
  <si>
    <t>2026年4月人力资源数据分析表（运营商事业部）</t>
  </si>
  <si>
    <t>部门/省、市</t>
  </si>
  <si>
    <t>专业</t>
  </si>
  <si>
    <t>4月产值</t>
  </si>
  <si>
    <t>人均产值</t>
  </si>
  <si>
    <t>4月网络数量</t>
  </si>
  <si>
    <t>人均维护网络数量</t>
  </si>
  <si>
    <t>4月薪酬（不含租车）（含社保）</t>
  </si>
  <si>
    <t>人均薪酬</t>
  </si>
  <si>
    <t>事业部本部（含标书室）</t>
  </si>
  <si>
    <t>江西</t>
  </si>
  <si>
    <t>江西省公司</t>
  </si>
  <si>
    <t>南昌</t>
  </si>
  <si>
    <t>上饶</t>
  </si>
  <si>
    <t>九江</t>
  </si>
  <si>
    <t>抚州</t>
  </si>
  <si>
    <t>鹰潭</t>
  </si>
  <si>
    <t>代维合计</t>
  </si>
  <si>
    <t>南昌有线宽带项目</t>
  </si>
  <si>
    <t>上饶有线宽带项目</t>
  </si>
  <si>
    <t>江西工程</t>
  </si>
  <si>
    <t>广东</t>
  </si>
  <si>
    <t>广东工程</t>
  </si>
  <si>
    <t>贵州</t>
  </si>
  <si>
    <t>贵州工程</t>
  </si>
  <si>
    <t>浙江</t>
  </si>
  <si>
    <t>浙江工程</t>
  </si>
  <si>
    <t>四川</t>
  </si>
  <si>
    <t>四川工程</t>
  </si>
  <si>
    <t>陕西</t>
  </si>
  <si>
    <t>陕西工程</t>
  </si>
  <si>
    <t>陕西工程（鄂尔多斯+呼伦贝尔）</t>
  </si>
  <si>
    <t>新疆</t>
  </si>
  <si>
    <t>新疆工程</t>
  </si>
  <si>
    <t>河南</t>
  </si>
  <si>
    <t>上海</t>
  </si>
  <si>
    <t>青海</t>
  </si>
  <si>
    <t>长春</t>
  </si>
  <si>
    <t>2026年4月人员花名册</t>
  </si>
  <si>
    <t>序号</t>
  </si>
  <si>
    <t>部门/项目</t>
  </si>
  <si>
    <t>姓名</t>
  </si>
  <si>
    <t>身份证号码</t>
  </si>
  <si>
    <t>出生日期</t>
  </si>
  <si>
    <t>年龄</t>
  </si>
  <si>
    <t>性别</t>
  </si>
  <si>
    <t>岗位</t>
  </si>
  <si>
    <t>所属专业</t>
  </si>
  <si>
    <t>联系方式</t>
  </si>
  <si>
    <t>入职公司</t>
  </si>
  <si>
    <t>学历</t>
  </si>
  <si>
    <t>毕业院校</t>
  </si>
  <si>
    <t>入职时间</t>
  </si>
  <si>
    <t>安全员
(通管局）</t>
  </si>
  <si>
    <t>安全员
（建设厅）</t>
  </si>
  <si>
    <t>公司领导</t>
  </si>
  <si>
    <t>技术中心</t>
  </si>
  <si>
    <t>办公室</t>
  </si>
  <si>
    <t>人力资源部</t>
  </si>
  <si>
    <t>综合办</t>
  </si>
  <si>
    <t>文秘办</t>
  </si>
  <si>
    <t>信息部</t>
  </si>
  <si>
    <t>会计部</t>
  </si>
  <si>
    <t>合规部</t>
  </si>
  <si>
    <t>资金部</t>
  </si>
  <si>
    <t>证券办</t>
  </si>
  <si>
    <t>基建办</t>
  </si>
  <si>
    <t>舟山工程</t>
  </si>
  <si>
    <t>标书室</t>
  </si>
  <si>
    <t>嘉兴联通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</si>
</sst>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[$-409]yyyy/mm/dd;@"/>
    <numFmt numFmtId="178" formatCode="0.00_);[Red]\(0.00\)"/>
  </numFmts>
  <fonts count="4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b/>
      <sz val="14"/>
      <color theme="1"/>
      <name val="宋体"/>
      <charset val="134"/>
      <scheme val="minor"/>
    </font>
    <font>
      <sz val="10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6"/>
      <color theme="1"/>
      <name val="黑体"/>
      <charset val="134"/>
    </font>
    <font>
      <b/>
      <sz val="16"/>
      <color theme="1"/>
      <name val="黑体"/>
      <charset val="134"/>
    </font>
    <font>
      <b/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b/>
      <sz val="10"/>
      <name val="宋体"/>
      <charset val="134"/>
      <scheme val="minor"/>
    </font>
    <font>
      <b/>
      <sz val="10"/>
      <name val="宋体"/>
      <charset val="134"/>
    </font>
    <font>
      <sz val="11"/>
      <name val="宋体"/>
      <charset val="134"/>
      <scheme val="minor"/>
    </font>
    <font>
      <sz val="14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indexed="9"/>
      <name val="宋体"/>
      <charset val="134"/>
    </font>
    <font>
      <sz val="10"/>
      <name val="Arial"/>
      <charset val="134"/>
    </font>
    <font>
      <sz val="11"/>
      <color indexed="8"/>
      <name val="宋体"/>
      <charset val="134"/>
    </font>
    <font>
      <sz val="10"/>
      <name val="Helv"/>
      <charset val="134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11" applyNumberFormat="0" applyAlignment="0" applyProtection="0">
      <alignment vertical="center"/>
    </xf>
    <xf numFmtId="0" fontId="27" fillId="6" borderId="12" applyNumberFormat="0" applyAlignment="0" applyProtection="0">
      <alignment vertical="center"/>
    </xf>
    <xf numFmtId="0" fontId="28" fillId="6" borderId="11" applyNumberFormat="0" applyAlignment="0" applyProtection="0">
      <alignment vertical="center"/>
    </xf>
    <xf numFmtId="0" fontId="29" fillId="7" borderId="13" applyNumberFormat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7" fillId="0" borderId="0">
      <alignment vertical="center"/>
    </xf>
    <xf numFmtId="0" fontId="38" fillId="0" borderId="0"/>
    <xf numFmtId="0" fontId="0" fillId="0" borderId="0">
      <alignment vertical="center"/>
    </xf>
    <xf numFmtId="0" fontId="0" fillId="0" borderId="0">
      <alignment vertical="center"/>
    </xf>
    <xf numFmtId="0" fontId="37" fillId="0" borderId="0">
      <alignment vertical="center"/>
    </xf>
    <xf numFmtId="0" fontId="37" fillId="0" borderId="0"/>
    <xf numFmtId="0" fontId="39" fillId="0" borderId="0" applyBorder="0">
      <alignment vertical="center"/>
    </xf>
    <xf numFmtId="0" fontId="0" fillId="0" borderId="0" applyBorder="0"/>
    <xf numFmtId="0" fontId="40" fillId="35" borderId="0">
      <alignment vertical="top"/>
      <protection locked="0"/>
    </xf>
    <xf numFmtId="0" fontId="41" fillId="0" borderId="0">
      <protection locked="0"/>
    </xf>
    <xf numFmtId="0" fontId="0" fillId="0" borderId="0"/>
    <xf numFmtId="0" fontId="42" fillId="36" borderId="0">
      <alignment vertical="top"/>
      <protection locked="0"/>
    </xf>
    <xf numFmtId="0" fontId="43" fillId="0" borderId="0">
      <protection locked="0"/>
    </xf>
  </cellStyleXfs>
  <cellXfs count="86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5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 applyFill="1">
      <alignment vertical="center"/>
    </xf>
    <xf numFmtId="0" fontId="4" fillId="0" borderId="0" xfId="0" applyFont="1">
      <alignment vertical="center"/>
    </xf>
    <xf numFmtId="178" fontId="4" fillId="0" borderId="0" xfId="0" applyNumberFormat="1" applyFo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78" fontId="11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78" fontId="12" fillId="0" borderId="1" xfId="0" applyNumberFormat="1" applyFont="1" applyBorder="1" applyAlignment="1">
      <alignment horizontal="center" vertical="center"/>
    </xf>
    <xf numFmtId="178" fontId="12" fillId="0" borderId="1" xfId="0" applyNumberFormat="1" applyFont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78" fontId="12" fillId="2" borderId="1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78" fontId="14" fillId="0" borderId="1" xfId="0" applyNumberFormat="1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178" fontId="14" fillId="2" borderId="1" xfId="0" applyNumberFormat="1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178" fontId="12" fillId="0" borderId="1" xfId="0" applyNumberFormat="1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0" fontId="0" fillId="2" borderId="1" xfId="0" applyNumberForma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0" fontId="1" fillId="3" borderId="1" xfId="0" applyNumberFormat="1" applyFont="1" applyFill="1" applyBorder="1" applyAlignment="1">
      <alignment horizontal="center" vertical="center"/>
    </xf>
    <xf numFmtId="10" fontId="16" fillId="0" borderId="1" xfId="0" applyNumberFormat="1" applyFont="1" applyBorder="1" applyAlignment="1">
      <alignment horizontal="center" vertical="center"/>
    </xf>
  </cellXfs>
  <cellStyles count="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Normal 2" xfId="50"/>
    <cellStyle name="常规 15" xfId="51"/>
    <cellStyle name="常规 5" xfId="52"/>
    <cellStyle name="常规 12" xfId="53"/>
    <cellStyle name="常规_Sheet1" xfId="54"/>
    <cellStyle name="常规 7" xfId="55"/>
    <cellStyle name="常规 27" xfId="56"/>
    <cellStyle name="60% - 强调文字颜色 1 2 2 3 4 2 2 2 2" xfId="57"/>
    <cellStyle name="常规 2 3 3 4 2 2 4" xfId="58"/>
    <cellStyle name="常规 29" xfId="59"/>
    <cellStyle name="20% - 强调文字颜色 2 2 2 2 2 4 2" xfId="60"/>
    <cellStyle name="_ET_STYLE_NoName_00_ 2 2 3" xfId="6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0</xdr:colOff>
      <xdr:row>89</xdr:row>
      <xdr:rowOff>0</xdr:rowOff>
    </xdr:from>
    <xdr:to>
      <xdr:col>16</xdr:col>
      <xdr:colOff>10160</xdr:colOff>
      <xdr:row>1042665</xdr:row>
      <xdr:rowOff>99059</xdr:rowOff>
    </xdr:to>
    <xdr:pic>
      <xdr:nvPicPr>
        <xdr:cNvPr id="2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88440" y="21267420"/>
          <a:ext cx="10160" cy="185370111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89</xdr:row>
      <xdr:rowOff>0</xdr:rowOff>
    </xdr:from>
    <xdr:to>
      <xdr:col>16</xdr:col>
      <xdr:colOff>152400</xdr:colOff>
      <xdr:row>1042665</xdr:row>
      <xdr:rowOff>99059</xdr:rowOff>
    </xdr:to>
    <xdr:pic>
      <xdr:nvPicPr>
        <xdr:cNvPr id="3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88440" y="21267420"/>
          <a:ext cx="152400" cy="185370111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4</xdr:col>
      <xdr:colOff>9525</xdr:colOff>
      <xdr:row>1044185</xdr:row>
      <xdr:rowOff>127000</xdr:rowOff>
    </xdr:to>
    <xdr:pic>
      <xdr:nvPicPr>
        <xdr:cNvPr id="4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14065" y="21267420"/>
          <a:ext cx="9525" cy="18564039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4</xdr:col>
      <xdr:colOff>153035</xdr:colOff>
      <xdr:row>1044185</xdr:row>
      <xdr:rowOff>127000</xdr:rowOff>
    </xdr:to>
    <xdr:pic>
      <xdr:nvPicPr>
        <xdr:cNvPr id="5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14065" y="21267420"/>
          <a:ext cx="153035" cy="18564039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4</xdr:col>
      <xdr:colOff>10160</xdr:colOff>
      <xdr:row>1044185</xdr:row>
      <xdr:rowOff>127000</xdr:rowOff>
    </xdr:to>
    <xdr:pic>
      <xdr:nvPicPr>
        <xdr:cNvPr id="6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14065" y="21267420"/>
          <a:ext cx="10160" cy="18564039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4</xdr:col>
      <xdr:colOff>151765</xdr:colOff>
      <xdr:row>1044185</xdr:row>
      <xdr:rowOff>127000</xdr:rowOff>
    </xdr:to>
    <xdr:pic>
      <xdr:nvPicPr>
        <xdr:cNvPr id="7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14065" y="21267420"/>
          <a:ext cx="151765" cy="18564039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19050</xdr:colOff>
      <xdr:row>89</xdr:row>
      <xdr:rowOff>0</xdr:rowOff>
    </xdr:from>
    <xdr:to>
      <xdr:col>11</xdr:col>
      <xdr:colOff>28575</xdr:colOff>
      <xdr:row>1040463</xdr:row>
      <xdr:rowOff>144780</xdr:rowOff>
    </xdr:to>
    <xdr:pic>
      <xdr:nvPicPr>
        <xdr:cNvPr id="8" name="Picture 2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9204960" y="21267420"/>
          <a:ext cx="9525" cy="1849786419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89</xdr:row>
      <xdr:rowOff>0</xdr:rowOff>
    </xdr:from>
    <xdr:to>
      <xdr:col>14</xdr:col>
      <xdr:colOff>10160</xdr:colOff>
      <xdr:row>1044185</xdr:row>
      <xdr:rowOff>127000</xdr:rowOff>
    </xdr:to>
    <xdr:pic>
      <xdr:nvPicPr>
        <xdr:cNvPr id="9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96370" y="21267420"/>
          <a:ext cx="10160" cy="18564039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89</xdr:row>
      <xdr:rowOff>0</xdr:rowOff>
    </xdr:from>
    <xdr:to>
      <xdr:col>14</xdr:col>
      <xdr:colOff>151765</xdr:colOff>
      <xdr:row>1044185</xdr:row>
      <xdr:rowOff>127000</xdr:rowOff>
    </xdr:to>
    <xdr:pic>
      <xdr:nvPicPr>
        <xdr:cNvPr id="10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96370" y="21267420"/>
          <a:ext cx="151765" cy="18564039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89</xdr:row>
      <xdr:rowOff>0</xdr:rowOff>
    </xdr:from>
    <xdr:to>
      <xdr:col>13</xdr:col>
      <xdr:colOff>10160</xdr:colOff>
      <xdr:row>1044185</xdr:row>
      <xdr:rowOff>127000</xdr:rowOff>
    </xdr:to>
    <xdr:pic>
      <xdr:nvPicPr>
        <xdr:cNvPr id="11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28350" y="21267420"/>
          <a:ext cx="10160" cy="18564039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89</xdr:row>
      <xdr:rowOff>0</xdr:rowOff>
    </xdr:from>
    <xdr:to>
      <xdr:col>13</xdr:col>
      <xdr:colOff>151765</xdr:colOff>
      <xdr:row>1044185</xdr:row>
      <xdr:rowOff>127000</xdr:rowOff>
    </xdr:to>
    <xdr:pic>
      <xdr:nvPicPr>
        <xdr:cNvPr id="12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28350" y="21267420"/>
          <a:ext cx="151765" cy="18564039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89</xdr:row>
      <xdr:rowOff>0</xdr:rowOff>
    </xdr:from>
    <xdr:to>
      <xdr:col>16</xdr:col>
      <xdr:colOff>9525</xdr:colOff>
      <xdr:row>1044185</xdr:row>
      <xdr:rowOff>127000</xdr:rowOff>
    </xdr:to>
    <xdr:pic>
      <xdr:nvPicPr>
        <xdr:cNvPr id="13" name="图片 127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4188440" y="21267420"/>
          <a:ext cx="9525" cy="18564039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89</xdr:row>
      <xdr:rowOff>0</xdr:rowOff>
    </xdr:from>
    <xdr:to>
      <xdr:col>16</xdr:col>
      <xdr:colOff>152400</xdr:colOff>
      <xdr:row>1044185</xdr:row>
      <xdr:rowOff>127000</xdr:rowOff>
    </xdr:to>
    <xdr:pic>
      <xdr:nvPicPr>
        <xdr:cNvPr id="14" name="图片 383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4188440" y="21267420"/>
          <a:ext cx="152400" cy="18564039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89</xdr:row>
      <xdr:rowOff>0</xdr:rowOff>
    </xdr:from>
    <xdr:to>
      <xdr:col>16</xdr:col>
      <xdr:colOff>10160</xdr:colOff>
      <xdr:row>1044185</xdr:row>
      <xdr:rowOff>127000</xdr:rowOff>
    </xdr:to>
    <xdr:pic>
      <xdr:nvPicPr>
        <xdr:cNvPr id="15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88440" y="21267420"/>
          <a:ext cx="10160" cy="18564039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89</xdr:row>
      <xdr:rowOff>0</xdr:rowOff>
    </xdr:from>
    <xdr:to>
      <xdr:col>16</xdr:col>
      <xdr:colOff>151765</xdr:colOff>
      <xdr:row>1044185</xdr:row>
      <xdr:rowOff>127000</xdr:rowOff>
    </xdr:to>
    <xdr:pic>
      <xdr:nvPicPr>
        <xdr:cNvPr id="16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88440" y="21267420"/>
          <a:ext cx="151765" cy="18564039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4</xdr:col>
      <xdr:colOff>9525</xdr:colOff>
      <xdr:row>89</xdr:row>
      <xdr:rowOff>0</xdr:rowOff>
    </xdr:to>
    <xdr:pic>
      <xdr:nvPicPr>
        <xdr:cNvPr id="17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14065" y="21267420"/>
          <a:ext cx="95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4</xdr:col>
      <xdr:colOff>153035</xdr:colOff>
      <xdr:row>89</xdr:row>
      <xdr:rowOff>0</xdr:rowOff>
    </xdr:to>
    <xdr:pic>
      <xdr:nvPicPr>
        <xdr:cNvPr id="18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14065" y="21267420"/>
          <a:ext cx="15303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89</xdr:row>
      <xdr:rowOff>0</xdr:rowOff>
    </xdr:from>
    <xdr:to>
      <xdr:col>16</xdr:col>
      <xdr:colOff>10160</xdr:colOff>
      <xdr:row>89</xdr:row>
      <xdr:rowOff>0</xdr:rowOff>
    </xdr:to>
    <xdr:pic>
      <xdr:nvPicPr>
        <xdr:cNvPr id="19" name="图片 1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88440" y="21267420"/>
          <a:ext cx="1016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89</xdr:row>
      <xdr:rowOff>0</xdr:rowOff>
    </xdr:from>
    <xdr:to>
      <xdr:col>16</xdr:col>
      <xdr:colOff>152400</xdr:colOff>
      <xdr:row>89</xdr:row>
      <xdr:rowOff>0</xdr:rowOff>
    </xdr:to>
    <xdr:pic>
      <xdr:nvPicPr>
        <xdr:cNvPr id="20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88440" y="21267420"/>
          <a:ext cx="15240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89</xdr:row>
      <xdr:rowOff>0</xdr:rowOff>
    </xdr:from>
    <xdr:to>
      <xdr:col>13</xdr:col>
      <xdr:colOff>10160</xdr:colOff>
      <xdr:row>89</xdr:row>
      <xdr:rowOff>0</xdr:rowOff>
    </xdr:to>
    <xdr:pic>
      <xdr:nvPicPr>
        <xdr:cNvPr id="21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28350" y="21267420"/>
          <a:ext cx="1016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89</xdr:row>
      <xdr:rowOff>0</xdr:rowOff>
    </xdr:from>
    <xdr:to>
      <xdr:col>13</xdr:col>
      <xdr:colOff>151765</xdr:colOff>
      <xdr:row>89</xdr:row>
      <xdr:rowOff>0</xdr:rowOff>
    </xdr:to>
    <xdr:pic>
      <xdr:nvPicPr>
        <xdr:cNvPr id="22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28350" y="21267420"/>
          <a:ext cx="1517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19050</xdr:colOff>
      <xdr:row>89</xdr:row>
      <xdr:rowOff>0</xdr:rowOff>
    </xdr:from>
    <xdr:to>
      <xdr:col>11</xdr:col>
      <xdr:colOff>28575</xdr:colOff>
      <xdr:row>89</xdr:row>
      <xdr:rowOff>0</xdr:rowOff>
    </xdr:to>
    <xdr:pic>
      <xdr:nvPicPr>
        <xdr:cNvPr id="23" name="Picture 2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9204960" y="2126742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89</xdr:row>
      <xdr:rowOff>0</xdr:rowOff>
    </xdr:from>
    <xdr:to>
      <xdr:col>14</xdr:col>
      <xdr:colOff>10160</xdr:colOff>
      <xdr:row>89</xdr:row>
      <xdr:rowOff>0</xdr:rowOff>
    </xdr:to>
    <xdr:pic>
      <xdr:nvPicPr>
        <xdr:cNvPr id="24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96370" y="21267420"/>
          <a:ext cx="1016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89</xdr:row>
      <xdr:rowOff>0</xdr:rowOff>
    </xdr:from>
    <xdr:to>
      <xdr:col>14</xdr:col>
      <xdr:colOff>151765</xdr:colOff>
      <xdr:row>89</xdr:row>
      <xdr:rowOff>0</xdr:rowOff>
    </xdr:to>
    <xdr:pic>
      <xdr:nvPicPr>
        <xdr:cNvPr id="25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96370" y="21267420"/>
          <a:ext cx="1517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89</xdr:row>
      <xdr:rowOff>0</xdr:rowOff>
    </xdr:from>
    <xdr:to>
      <xdr:col>16</xdr:col>
      <xdr:colOff>9525</xdr:colOff>
      <xdr:row>89</xdr:row>
      <xdr:rowOff>0</xdr:rowOff>
    </xdr:to>
    <xdr:pic>
      <xdr:nvPicPr>
        <xdr:cNvPr id="26" name="图片 127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4188440" y="2126742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89</xdr:row>
      <xdr:rowOff>0</xdr:rowOff>
    </xdr:from>
    <xdr:to>
      <xdr:col>16</xdr:col>
      <xdr:colOff>152400</xdr:colOff>
      <xdr:row>89</xdr:row>
      <xdr:rowOff>0</xdr:rowOff>
    </xdr:to>
    <xdr:pic>
      <xdr:nvPicPr>
        <xdr:cNvPr id="27" name="图片 383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4188440" y="21267420"/>
          <a:ext cx="1524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89</xdr:row>
      <xdr:rowOff>0</xdr:rowOff>
    </xdr:from>
    <xdr:to>
      <xdr:col>16</xdr:col>
      <xdr:colOff>151765</xdr:colOff>
      <xdr:row>89</xdr:row>
      <xdr:rowOff>0</xdr:rowOff>
    </xdr:to>
    <xdr:pic>
      <xdr:nvPicPr>
        <xdr:cNvPr id="2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88440" y="21267420"/>
          <a:ext cx="1517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938530</xdr:colOff>
      <xdr:row>89</xdr:row>
      <xdr:rowOff>0</xdr:rowOff>
    </xdr:from>
    <xdr:to>
      <xdr:col>2</xdr:col>
      <xdr:colOff>995680</xdr:colOff>
      <xdr:row>89</xdr:row>
      <xdr:rowOff>0</xdr:rowOff>
    </xdr:to>
    <xdr:pic>
      <xdr:nvPicPr>
        <xdr:cNvPr id="34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45690" y="21267420"/>
          <a:ext cx="571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4</xdr:col>
      <xdr:colOff>10160</xdr:colOff>
      <xdr:row>89</xdr:row>
      <xdr:rowOff>0</xdr:rowOff>
    </xdr:to>
    <xdr:pic>
      <xdr:nvPicPr>
        <xdr:cNvPr id="35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14065" y="21267420"/>
          <a:ext cx="1016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4</xdr:col>
      <xdr:colOff>151765</xdr:colOff>
      <xdr:row>89</xdr:row>
      <xdr:rowOff>0</xdr:rowOff>
    </xdr:to>
    <xdr:pic>
      <xdr:nvPicPr>
        <xdr:cNvPr id="36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14065" y="21267420"/>
          <a:ext cx="1517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938530</xdr:colOff>
      <xdr:row>89</xdr:row>
      <xdr:rowOff>0</xdr:rowOff>
    </xdr:from>
    <xdr:to>
      <xdr:col>3</xdr:col>
      <xdr:colOff>42545</xdr:colOff>
      <xdr:row>89</xdr:row>
      <xdr:rowOff>0</xdr:rowOff>
    </xdr:to>
    <xdr:pic>
      <xdr:nvPicPr>
        <xdr:cNvPr id="37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45690" y="21267420"/>
          <a:ext cx="1422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938530</xdr:colOff>
      <xdr:row>89</xdr:row>
      <xdr:rowOff>0</xdr:rowOff>
    </xdr:from>
    <xdr:to>
      <xdr:col>3</xdr:col>
      <xdr:colOff>52705</xdr:colOff>
      <xdr:row>89</xdr:row>
      <xdr:rowOff>0</xdr:rowOff>
    </xdr:to>
    <xdr:pic>
      <xdr:nvPicPr>
        <xdr:cNvPr id="38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45690" y="21267420"/>
          <a:ext cx="15240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89</xdr:row>
      <xdr:rowOff>0</xdr:rowOff>
    </xdr:from>
    <xdr:to>
      <xdr:col>16</xdr:col>
      <xdr:colOff>151765</xdr:colOff>
      <xdr:row>1040463</xdr:row>
      <xdr:rowOff>144780</xdr:rowOff>
    </xdr:to>
    <xdr:pic>
      <xdr:nvPicPr>
        <xdr:cNvPr id="3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88440" y="21267420"/>
          <a:ext cx="151765" cy="18497864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5</xdr:col>
      <xdr:colOff>9525</xdr:colOff>
      <xdr:row>89</xdr:row>
      <xdr:rowOff>152400</xdr:rowOff>
    </xdr:to>
    <xdr:pic>
      <xdr:nvPicPr>
        <xdr:cNvPr id="41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73295" y="2126742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5</xdr:col>
      <xdr:colOff>153035</xdr:colOff>
      <xdr:row>89</xdr:row>
      <xdr:rowOff>9525</xdr:rowOff>
    </xdr:to>
    <xdr:pic>
      <xdr:nvPicPr>
        <xdr:cNvPr id="42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73295" y="2126742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19050</xdr:colOff>
      <xdr:row>89</xdr:row>
      <xdr:rowOff>0</xdr:rowOff>
    </xdr:from>
    <xdr:to>
      <xdr:col>11</xdr:col>
      <xdr:colOff>28575</xdr:colOff>
      <xdr:row>90</xdr:row>
      <xdr:rowOff>112395</xdr:rowOff>
    </xdr:to>
    <xdr:pic>
      <xdr:nvPicPr>
        <xdr:cNvPr id="49" name="Picture 2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9204960" y="21267420"/>
          <a:ext cx="9525" cy="2901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9525</xdr:colOff>
      <xdr:row>89</xdr:row>
      <xdr:rowOff>0</xdr:rowOff>
    </xdr:to>
    <xdr:pic>
      <xdr:nvPicPr>
        <xdr:cNvPr id="52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45385" y="21267420"/>
          <a:ext cx="95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153035</xdr:colOff>
      <xdr:row>89</xdr:row>
      <xdr:rowOff>0</xdr:rowOff>
    </xdr:to>
    <xdr:pic>
      <xdr:nvPicPr>
        <xdr:cNvPr id="53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45385" y="21267420"/>
          <a:ext cx="15303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938530</xdr:colOff>
      <xdr:row>89</xdr:row>
      <xdr:rowOff>0</xdr:rowOff>
    </xdr:from>
    <xdr:to>
      <xdr:col>2</xdr:col>
      <xdr:colOff>995680</xdr:colOff>
      <xdr:row>1040463</xdr:row>
      <xdr:rowOff>144780</xdr:rowOff>
    </xdr:to>
    <xdr:pic>
      <xdr:nvPicPr>
        <xdr:cNvPr id="54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45690" y="21267420"/>
          <a:ext cx="57150" cy="18497864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938530</xdr:colOff>
      <xdr:row>89</xdr:row>
      <xdr:rowOff>0</xdr:rowOff>
    </xdr:from>
    <xdr:to>
      <xdr:col>3</xdr:col>
      <xdr:colOff>42545</xdr:colOff>
      <xdr:row>1040463</xdr:row>
      <xdr:rowOff>144780</xdr:rowOff>
    </xdr:to>
    <xdr:pic>
      <xdr:nvPicPr>
        <xdr:cNvPr id="55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45690" y="21267420"/>
          <a:ext cx="142240" cy="18497864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938530</xdr:colOff>
      <xdr:row>89</xdr:row>
      <xdr:rowOff>0</xdr:rowOff>
    </xdr:from>
    <xdr:to>
      <xdr:col>3</xdr:col>
      <xdr:colOff>52705</xdr:colOff>
      <xdr:row>1040463</xdr:row>
      <xdr:rowOff>144780</xdr:rowOff>
    </xdr:to>
    <xdr:pic>
      <xdr:nvPicPr>
        <xdr:cNvPr id="56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45690" y="21267420"/>
          <a:ext cx="152400" cy="18497864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89</xdr:row>
      <xdr:rowOff>0</xdr:rowOff>
    </xdr:from>
    <xdr:to>
      <xdr:col>15</xdr:col>
      <xdr:colOff>10160</xdr:colOff>
      <xdr:row>89</xdr:row>
      <xdr:rowOff>0</xdr:rowOff>
    </xdr:to>
    <xdr:pic>
      <xdr:nvPicPr>
        <xdr:cNvPr id="57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202920" y="21267420"/>
          <a:ext cx="1016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89</xdr:row>
      <xdr:rowOff>0</xdr:rowOff>
    </xdr:from>
    <xdr:to>
      <xdr:col>15</xdr:col>
      <xdr:colOff>152400</xdr:colOff>
      <xdr:row>89</xdr:row>
      <xdr:rowOff>0</xdr:rowOff>
    </xdr:to>
    <xdr:pic>
      <xdr:nvPicPr>
        <xdr:cNvPr id="58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202920" y="21267420"/>
          <a:ext cx="15240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89</xdr:row>
      <xdr:rowOff>0</xdr:rowOff>
    </xdr:from>
    <xdr:to>
      <xdr:col>12</xdr:col>
      <xdr:colOff>10160</xdr:colOff>
      <xdr:row>89</xdr:row>
      <xdr:rowOff>0</xdr:rowOff>
    </xdr:to>
    <xdr:pic>
      <xdr:nvPicPr>
        <xdr:cNvPr id="59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093960" y="21267420"/>
          <a:ext cx="1016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89</xdr:row>
      <xdr:rowOff>0</xdr:rowOff>
    </xdr:from>
    <xdr:to>
      <xdr:col>12</xdr:col>
      <xdr:colOff>151765</xdr:colOff>
      <xdr:row>89</xdr:row>
      <xdr:rowOff>0</xdr:rowOff>
    </xdr:to>
    <xdr:pic>
      <xdr:nvPicPr>
        <xdr:cNvPr id="60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093960" y="21267420"/>
          <a:ext cx="1517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89</xdr:row>
      <xdr:rowOff>0</xdr:rowOff>
    </xdr:from>
    <xdr:to>
      <xdr:col>15</xdr:col>
      <xdr:colOff>9525</xdr:colOff>
      <xdr:row>89</xdr:row>
      <xdr:rowOff>0</xdr:rowOff>
    </xdr:to>
    <xdr:pic>
      <xdr:nvPicPr>
        <xdr:cNvPr id="61" name="图片 127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3202920" y="2126742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15</xdr:col>
      <xdr:colOff>0</xdr:colOff>
      <xdr:row>89</xdr:row>
      <xdr:rowOff>0</xdr:rowOff>
    </xdr:from>
    <xdr:to>
      <xdr:col>15</xdr:col>
      <xdr:colOff>152400</xdr:colOff>
      <xdr:row>89</xdr:row>
      <xdr:rowOff>0</xdr:rowOff>
    </xdr:to>
    <xdr:pic>
      <xdr:nvPicPr>
        <xdr:cNvPr id="62" name="图片 383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3202920" y="21267420"/>
          <a:ext cx="1524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15</xdr:col>
      <xdr:colOff>0</xdr:colOff>
      <xdr:row>89</xdr:row>
      <xdr:rowOff>0</xdr:rowOff>
    </xdr:from>
    <xdr:to>
      <xdr:col>15</xdr:col>
      <xdr:colOff>151765</xdr:colOff>
      <xdr:row>89</xdr:row>
      <xdr:rowOff>0</xdr:rowOff>
    </xdr:to>
    <xdr:pic>
      <xdr:nvPicPr>
        <xdr:cNvPr id="63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202920" y="21267420"/>
          <a:ext cx="1517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908050</xdr:colOff>
      <xdr:row>89</xdr:row>
      <xdr:rowOff>0</xdr:rowOff>
    </xdr:from>
    <xdr:to>
      <xdr:col>12</xdr:col>
      <xdr:colOff>57785</xdr:colOff>
      <xdr:row>89</xdr:row>
      <xdr:rowOff>0</xdr:rowOff>
    </xdr:to>
    <xdr:pic>
      <xdr:nvPicPr>
        <xdr:cNvPr id="64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093960" y="21267420"/>
          <a:ext cx="5778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908050</xdr:colOff>
      <xdr:row>89</xdr:row>
      <xdr:rowOff>0</xdr:rowOff>
    </xdr:from>
    <xdr:to>
      <xdr:col>12</xdr:col>
      <xdr:colOff>142875</xdr:colOff>
      <xdr:row>89</xdr:row>
      <xdr:rowOff>0</xdr:rowOff>
    </xdr:to>
    <xdr:pic>
      <xdr:nvPicPr>
        <xdr:cNvPr id="65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093960" y="21267420"/>
          <a:ext cx="1428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908050</xdr:colOff>
      <xdr:row>89</xdr:row>
      <xdr:rowOff>0</xdr:rowOff>
    </xdr:from>
    <xdr:to>
      <xdr:col>12</xdr:col>
      <xdr:colOff>153035</xdr:colOff>
      <xdr:row>89</xdr:row>
      <xdr:rowOff>0</xdr:rowOff>
    </xdr:to>
    <xdr:pic>
      <xdr:nvPicPr>
        <xdr:cNvPr id="66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093960" y="21267420"/>
          <a:ext cx="15303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938530</xdr:colOff>
      <xdr:row>89</xdr:row>
      <xdr:rowOff>0</xdr:rowOff>
    </xdr:from>
    <xdr:to>
      <xdr:col>2</xdr:col>
      <xdr:colOff>996315</xdr:colOff>
      <xdr:row>1040463</xdr:row>
      <xdr:rowOff>144780</xdr:rowOff>
    </xdr:to>
    <xdr:pic>
      <xdr:nvPicPr>
        <xdr:cNvPr id="67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45690" y="21267420"/>
          <a:ext cx="57785" cy="18497864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938530</xdr:colOff>
      <xdr:row>89</xdr:row>
      <xdr:rowOff>0</xdr:rowOff>
    </xdr:from>
    <xdr:to>
      <xdr:col>3</xdr:col>
      <xdr:colOff>43180</xdr:colOff>
      <xdr:row>1040463</xdr:row>
      <xdr:rowOff>144780</xdr:rowOff>
    </xdr:to>
    <xdr:pic>
      <xdr:nvPicPr>
        <xdr:cNvPr id="68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45690" y="21267420"/>
          <a:ext cx="142875" cy="18497864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938530</xdr:colOff>
      <xdr:row>89</xdr:row>
      <xdr:rowOff>0</xdr:rowOff>
    </xdr:from>
    <xdr:to>
      <xdr:col>3</xdr:col>
      <xdr:colOff>53340</xdr:colOff>
      <xdr:row>1040463</xdr:row>
      <xdr:rowOff>144780</xdr:rowOff>
    </xdr:to>
    <xdr:pic>
      <xdr:nvPicPr>
        <xdr:cNvPr id="69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45690" y="21267420"/>
          <a:ext cx="153035" cy="18497864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908050</xdr:colOff>
      <xdr:row>89</xdr:row>
      <xdr:rowOff>0</xdr:rowOff>
    </xdr:from>
    <xdr:to>
      <xdr:col>12</xdr:col>
      <xdr:colOff>57785</xdr:colOff>
      <xdr:row>1040463</xdr:row>
      <xdr:rowOff>144780</xdr:rowOff>
    </xdr:to>
    <xdr:pic>
      <xdr:nvPicPr>
        <xdr:cNvPr id="70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093960" y="21267420"/>
          <a:ext cx="57785" cy="18497864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908050</xdr:colOff>
      <xdr:row>89</xdr:row>
      <xdr:rowOff>0</xdr:rowOff>
    </xdr:from>
    <xdr:to>
      <xdr:col>12</xdr:col>
      <xdr:colOff>142875</xdr:colOff>
      <xdr:row>1040463</xdr:row>
      <xdr:rowOff>144780</xdr:rowOff>
    </xdr:to>
    <xdr:pic>
      <xdr:nvPicPr>
        <xdr:cNvPr id="71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093960" y="21267420"/>
          <a:ext cx="142875" cy="18497864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743585</xdr:colOff>
      <xdr:row>89</xdr:row>
      <xdr:rowOff>0</xdr:rowOff>
    </xdr:from>
    <xdr:to>
      <xdr:col>12</xdr:col>
      <xdr:colOff>0</xdr:colOff>
      <xdr:row>1040463</xdr:row>
      <xdr:rowOff>144145</xdr:rowOff>
    </xdr:to>
    <xdr:pic>
      <xdr:nvPicPr>
        <xdr:cNvPr id="72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29495" y="21267420"/>
          <a:ext cx="164465" cy="184978641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834390</xdr:colOff>
      <xdr:row>89</xdr:row>
      <xdr:rowOff>0</xdr:rowOff>
    </xdr:from>
    <xdr:to>
      <xdr:col>13</xdr:col>
      <xdr:colOff>57785</xdr:colOff>
      <xdr:row>1040463</xdr:row>
      <xdr:rowOff>144780</xdr:rowOff>
    </xdr:to>
    <xdr:pic>
      <xdr:nvPicPr>
        <xdr:cNvPr id="73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28350" y="21267420"/>
          <a:ext cx="57785" cy="18497864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834390</xdr:colOff>
      <xdr:row>89</xdr:row>
      <xdr:rowOff>0</xdr:rowOff>
    </xdr:from>
    <xdr:to>
      <xdr:col>13</xdr:col>
      <xdr:colOff>142875</xdr:colOff>
      <xdr:row>1040463</xdr:row>
      <xdr:rowOff>144780</xdr:rowOff>
    </xdr:to>
    <xdr:pic>
      <xdr:nvPicPr>
        <xdr:cNvPr id="74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28350" y="21267420"/>
          <a:ext cx="142875" cy="18497864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780415</xdr:colOff>
      <xdr:row>89</xdr:row>
      <xdr:rowOff>0</xdr:rowOff>
    </xdr:from>
    <xdr:to>
      <xdr:col>13</xdr:col>
      <xdr:colOff>99060</xdr:colOff>
      <xdr:row>1040463</xdr:row>
      <xdr:rowOff>144780</xdr:rowOff>
    </xdr:to>
    <xdr:pic>
      <xdr:nvPicPr>
        <xdr:cNvPr id="75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874375" y="21267420"/>
          <a:ext cx="153035" cy="18497864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742950</xdr:colOff>
      <xdr:row>89</xdr:row>
      <xdr:rowOff>0</xdr:rowOff>
    </xdr:from>
    <xdr:to>
      <xdr:col>13</xdr:col>
      <xdr:colOff>60960</xdr:colOff>
      <xdr:row>1040463</xdr:row>
      <xdr:rowOff>144780</xdr:rowOff>
    </xdr:to>
    <xdr:pic>
      <xdr:nvPicPr>
        <xdr:cNvPr id="76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836910" y="21267420"/>
          <a:ext cx="152400" cy="18497864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742950</xdr:colOff>
      <xdr:row>89</xdr:row>
      <xdr:rowOff>0</xdr:rowOff>
    </xdr:from>
    <xdr:to>
      <xdr:col>13</xdr:col>
      <xdr:colOff>60960</xdr:colOff>
      <xdr:row>89</xdr:row>
      <xdr:rowOff>0</xdr:rowOff>
    </xdr:to>
    <xdr:pic>
      <xdr:nvPicPr>
        <xdr:cNvPr id="77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836910" y="21267420"/>
          <a:ext cx="15240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89</xdr:row>
      <xdr:rowOff>0</xdr:rowOff>
    </xdr:from>
    <xdr:to>
      <xdr:col>16</xdr:col>
      <xdr:colOff>10160</xdr:colOff>
      <xdr:row>1040454</xdr:row>
      <xdr:rowOff>91440</xdr:rowOff>
    </xdr:to>
    <xdr:pic>
      <xdr:nvPicPr>
        <xdr:cNvPr id="80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88440" y="21267420"/>
          <a:ext cx="10160" cy="184976988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89</xdr:row>
      <xdr:rowOff>0</xdr:rowOff>
    </xdr:from>
    <xdr:to>
      <xdr:col>16</xdr:col>
      <xdr:colOff>152400</xdr:colOff>
      <xdr:row>1040454</xdr:row>
      <xdr:rowOff>91440</xdr:rowOff>
    </xdr:to>
    <xdr:pic>
      <xdr:nvPicPr>
        <xdr:cNvPr id="81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88440" y="21267420"/>
          <a:ext cx="152400" cy="184976988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89</xdr:row>
      <xdr:rowOff>0</xdr:rowOff>
    </xdr:from>
    <xdr:to>
      <xdr:col>11</xdr:col>
      <xdr:colOff>12700</xdr:colOff>
      <xdr:row>1042665</xdr:row>
      <xdr:rowOff>99059</xdr:rowOff>
    </xdr:to>
    <xdr:pic>
      <xdr:nvPicPr>
        <xdr:cNvPr id="84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185910" y="21267420"/>
          <a:ext cx="12700" cy="185370111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89</xdr:row>
      <xdr:rowOff>0</xdr:rowOff>
    </xdr:from>
    <xdr:to>
      <xdr:col>11</xdr:col>
      <xdr:colOff>152400</xdr:colOff>
      <xdr:row>1042665</xdr:row>
      <xdr:rowOff>99059</xdr:rowOff>
    </xdr:to>
    <xdr:pic>
      <xdr:nvPicPr>
        <xdr:cNvPr id="85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185910" y="21267420"/>
          <a:ext cx="152400" cy="185370111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89</xdr:row>
      <xdr:rowOff>0</xdr:rowOff>
    </xdr:from>
    <xdr:to>
      <xdr:col>11</xdr:col>
      <xdr:colOff>12700</xdr:colOff>
      <xdr:row>1042665</xdr:row>
      <xdr:rowOff>99059</xdr:rowOff>
    </xdr:to>
    <xdr:pic>
      <xdr:nvPicPr>
        <xdr:cNvPr id="86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185910" y="21267420"/>
          <a:ext cx="12700" cy="185370111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89</xdr:row>
      <xdr:rowOff>0</xdr:rowOff>
    </xdr:from>
    <xdr:to>
      <xdr:col>11</xdr:col>
      <xdr:colOff>152400</xdr:colOff>
      <xdr:row>1042665</xdr:row>
      <xdr:rowOff>99059</xdr:rowOff>
    </xdr:to>
    <xdr:pic>
      <xdr:nvPicPr>
        <xdr:cNvPr id="87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185910" y="21267420"/>
          <a:ext cx="152400" cy="185370111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4</xdr:col>
      <xdr:colOff>9525</xdr:colOff>
      <xdr:row>1040463</xdr:row>
      <xdr:rowOff>144780</xdr:rowOff>
    </xdr:to>
    <xdr:pic>
      <xdr:nvPicPr>
        <xdr:cNvPr id="88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14065" y="21267420"/>
          <a:ext cx="9525" cy="18497864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4</xdr:col>
      <xdr:colOff>153035</xdr:colOff>
      <xdr:row>1040463</xdr:row>
      <xdr:rowOff>144780</xdr:rowOff>
    </xdr:to>
    <xdr:pic>
      <xdr:nvPicPr>
        <xdr:cNvPr id="89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14065" y="21267420"/>
          <a:ext cx="153035" cy="18497864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4</xdr:col>
      <xdr:colOff>10160</xdr:colOff>
      <xdr:row>1040463</xdr:row>
      <xdr:rowOff>144780</xdr:rowOff>
    </xdr:to>
    <xdr:pic>
      <xdr:nvPicPr>
        <xdr:cNvPr id="91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14065" y="21267420"/>
          <a:ext cx="10160" cy="18497864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124460</xdr:colOff>
      <xdr:row>89</xdr:row>
      <xdr:rowOff>0</xdr:rowOff>
    </xdr:from>
    <xdr:to>
      <xdr:col>4</xdr:col>
      <xdr:colOff>276225</xdr:colOff>
      <xdr:row>1040463</xdr:row>
      <xdr:rowOff>144780</xdr:rowOff>
    </xdr:to>
    <xdr:pic>
      <xdr:nvPicPr>
        <xdr:cNvPr id="92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38525" y="21267420"/>
          <a:ext cx="151765" cy="18497864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850265</xdr:colOff>
      <xdr:row>89</xdr:row>
      <xdr:rowOff>0</xdr:rowOff>
    </xdr:from>
    <xdr:to>
      <xdr:col>4</xdr:col>
      <xdr:colOff>1002665</xdr:colOff>
      <xdr:row>1040463</xdr:row>
      <xdr:rowOff>144780</xdr:rowOff>
    </xdr:to>
    <xdr:pic>
      <xdr:nvPicPr>
        <xdr:cNvPr id="95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64330" y="21267420"/>
          <a:ext cx="152400" cy="18497864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9525</xdr:colOff>
      <xdr:row>1040463</xdr:row>
      <xdr:rowOff>144780</xdr:rowOff>
    </xdr:to>
    <xdr:pic>
      <xdr:nvPicPr>
        <xdr:cNvPr id="96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45385" y="21267420"/>
          <a:ext cx="9525" cy="18497864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89</xdr:row>
      <xdr:rowOff>0</xdr:rowOff>
    </xdr:from>
    <xdr:to>
      <xdr:col>11</xdr:col>
      <xdr:colOff>12700</xdr:colOff>
      <xdr:row>1040463</xdr:row>
      <xdr:rowOff>144780</xdr:rowOff>
    </xdr:to>
    <xdr:pic>
      <xdr:nvPicPr>
        <xdr:cNvPr id="99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185910" y="21267420"/>
          <a:ext cx="12700" cy="18497864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9525</xdr:colOff>
      <xdr:row>89</xdr:row>
      <xdr:rowOff>0</xdr:rowOff>
    </xdr:from>
    <xdr:to>
      <xdr:col>11</xdr:col>
      <xdr:colOff>161925</xdr:colOff>
      <xdr:row>1042465</xdr:row>
      <xdr:rowOff>2540</xdr:rowOff>
    </xdr:to>
    <xdr:pic>
      <xdr:nvPicPr>
        <xdr:cNvPr id="100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195435" y="21267420"/>
          <a:ext cx="152400" cy="185334455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89</xdr:row>
      <xdr:rowOff>0</xdr:rowOff>
    </xdr:from>
    <xdr:to>
      <xdr:col>14</xdr:col>
      <xdr:colOff>10160</xdr:colOff>
      <xdr:row>1040463</xdr:row>
      <xdr:rowOff>144780</xdr:rowOff>
    </xdr:to>
    <xdr:pic>
      <xdr:nvPicPr>
        <xdr:cNvPr id="103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96370" y="21267420"/>
          <a:ext cx="10160" cy="18497864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89</xdr:row>
      <xdr:rowOff>0</xdr:rowOff>
    </xdr:from>
    <xdr:to>
      <xdr:col>14</xdr:col>
      <xdr:colOff>151765</xdr:colOff>
      <xdr:row>1040463</xdr:row>
      <xdr:rowOff>144780</xdr:rowOff>
    </xdr:to>
    <xdr:pic>
      <xdr:nvPicPr>
        <xdr:cNvPr id="104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96370" y="21267420"/>
          <a:ext cx="151765" cy="18497864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89</xdr:row>
      <xdr:rowOff>0</xdr:rowOff>
    </xdr:from>
    <xdr:to>
      <xdr:col>13</xdr:col>
      <xdr:colOff>10160</xdr:colOff>
      <xdr:row>1040463</xdr:row>
      <xdr:rowOff>144780</xdr:rowOff>
    </xdr:to>
    <xdr:pic>
      <xdr:nvPicPr>
        <xdr:cNvPr id="105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28350" y="21267420"/>
          <a:ext cx="10160" cy="18497864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725170</xdr:colOff>
      <xdr:row>0</xdr:row>
      <xdr:rowOff>635</xdr:rowOff>
    </xdr:from>
    <xdr:to>
      <xdr:col>4</xdr:col>
      <xdr:colOff>876935</xdr:colOff>
      <xdr:row>1038663</xdr:row>
      <xdr:rowOff>97155</xdr:rowOff>
    </xdr:to>
    <xdr:pic>
      <xdr:nvPicPr>
        <xdr:cNvPr id="106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39235" y="635"/>
          <a:ext cx="151765" cy="184679821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89</xdr:row>
      <xdr:rowOff>0</xdr:rowOff>
    </xdr:from>
    <xdr:to>
      <xdr:col>16</xdr:col>
      <xdr:colOff>10160</xdr:colOff>
      <xdr:row>1040463</xdr:row>
      <xdr:rowOff>144780</xdr:rowOff>
    </xdr:to>
    <xdr:pic>
      <xdr:nvPicPr>
        <xdr:cNvPr id="107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88440" y="21267420"/>
          <a:ext cx="10160" cy="18497864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89</xdr:row>
      <xdr:rowOff>0</xdr:rowOff>
    </xdr:from>
    <xdr:to>
      <xdr:col>16</xdr:col>
      <xdr:colOff>152400</xdr:colOff>
      <xdr:row>1040463</xdr:row>
      <xdr:rowOff>144780</xdr:rowOff>
    </xdr:to>
    <xdr:pic>
      <xdr:nvPicPr>
        <xdr:cNvPr id="108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88440" y="21267420"/>
          <a:ext cx="152400" cy="18497864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89</xdr:row>
      <xdr:rowOff>0</xdr:rowOff>
    </xdr:from>
    <xdr:to>
      <xdr:col>16</xdr:col>
      <xdr:colOff>9525</xdr:colOff>
      <xdr:row>1040463</xdr:row>
      <xdr:rowOff>144780</xdr:rowOff>
    </xdr:to>
    <xdr:pic>
      <xdr:nvPicPr>
        <xdr:cNvPr id="109" name="图片 127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4188440" y="21267420"/>
          <a:ext cx="9525" cy="1849786419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89</xdr:row>
      <xdr:rowOff>0</xdr:rowOff>
    </xdr:from>
    <xdr:to>
      <xdr:col>16</xdr:col>
      <xdr:colOff>152400</xdr:colOff>
      <xdr:row>1040463</xdr:row>
      <xdr:rowOff>144780</xdr:rowOff>
    </xdr:to>
    <xdr:pic>
      <xdr:nvPicPr>
        <xdr:cNvPr id="110" name="图片 383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4188440" y="21267420"/>
          <a:ext cx="152400" cy="1849786419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737870</xdr:colOff>
      <xdr:row>89</xdr:row>
      <xdr:rowOff>0</xdr:rowOff>
    </xdr:from>
    <xdr:to>
      <xdr:col>10</xdr:col>
      <xdr:colOff>57150</xdr:colOff>
      <xdr:row>89</xdr:row>
      <xdr:rowOff>0</xdr:rowOff>
    </xdr:to>
    <xdr:pic>
      <xdr:nvPicPr>
        <xdr:cNvPr id="112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277860" y="21267420"/>
          <a:ext cx="571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737870</xdr:colOff>
      <xdr:row>89</xdr:row>
      <xdr:rowOff>0</xdr:rowOff>
    </xdr:from>
    <xdr:to>
      <xdr:col>10</xdr:col>
      <xdr:colOff>142240</xdr:colOff>
      <xdr:row>89</xdr:row>
      <xdr:rowOff>0</xdr:rowOff>
    </xdr:to>
    <xdr:pic>
      <xdr:nvPicPr>
        <xdr:cNvPr id="113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277860" y="21267420"/>
          <a:ext cx="1422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737870</xdr:colOff>
      <xdr:row>89</xdr:row>
      <xdr:rowOff>0</xdr:rowOff>
    </xdr:from>
    <xdr:to>
      <xdr:col>10</xdr:col>
      <xdr:colOff>152400</xdr:colOff>
      <xdr:row>89</xdr:row>
      <xdr:rowOff>0</xdr:rowOff>
    </xdr:to>
    <xdr:pic>
      <xdr:nvPicPr>
        <xdr:cNvPr id="114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277860" y="21267420"/>
          <a:ext cx="15240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89</xdr:row>
      <xdr:rowOff>0</xdr:rowOff>
    </xdr:from>
    <xdr:to>
      <xdr:col>14</xdr:col>
      <xdr:colOff>10160</xdr:colOff>
      <xdr:row>1040462</xdr:row>
      <xdr:rowOff>86360</xdr:rowOff>
    </xdr:to>
    <xdr:pic>
      <xdr:nvPicPr>
        <xdr:cNvPr id="117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96370" y="21267420"/>
          <a:ext cx="10160" cy="184978405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1423035</xdr:colOff>
      <xdr:row>89</xdr:row>
      <xdr:rowOff>0</xdr:rowOff>
    </xdr:from>
    <xdr:to>
      <xdr:col>14</xdr:col>
      <xdr:colOff>1574800</xdr:colOff>
      <xdr:row>1040462</xdr:row>
      <xdr:rowOff>86360</xdr:rowOff>
    </xdr:to>
    <xdr:pic>
      <xdr:nvPicPr>
        <xdr:cNvPr id="118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19405" y="21267420"/>
          <a:ext cx="151765" cy="184978405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89</xdr:row>
      <xdr:rowOff>0</xdr:rowOff>
    </xdr:from>
    <xdr:to>
      <xdr:col>13</xdr:col>
      <xdr:colOff>10160</xdr:colOff>
      <xdr:row>1040462</xdr:row>
      <xdr:rowOff>86360</xdr:rowOff>
    </xdr:to>
    <xdr:pic>
      <xdr:nvPicPr>
        <xdr:cNvPr id="119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28350" y="21267420"/>
          <a:ext cx="10160" cy="184978405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89</xdr:row>
      <xdr:rowOff>0</xdr:rowOff>
    </xdr:from>
    <xdr:to>
      <xdr:col>16</xdr:col>
      <xdr:colOff>10160</xdr:colOff>
      <xdr:row>1040462</xdr:row>
      <xdr:rowOff>86360</xdr:rowOff>
    </xdr:to>
    <xdr:pic>
      <xdr:nvPicPr>
        <xdr:cNvPr id="121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88440" y="21267420"/>
          <a:ext cx="10160" cy="184978405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332105</xdr:colOff>
      <xdr:row>89</xdr:row>
      <xdr:rowOff>0</xdr:rowOff>
    </xdr:from>
    <xdr:to>
      <xdr:col>16</xdr:col>
      <xdr:colOff>483870</xdr:colOff>
      <xdr:row>1040462</xdr:row>
      <xdr:rowOff>86360</xdr:rowOff>
    </xdr:to>
    <xdr:pic>
      <xdr:nvPicPr>
        <xdr:cNvPr id="122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520545" y="21267420"/>
          <a:ext cx="151765" cy="184978405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9525</xdr:colOff>
      <xdr:row>5</xdr:row>
      <xdr:rowOff>152400</xdr:rowOff>
    </xdr:to>
    <xdr:pic>
      <xdr:nvPicPr>
        <xdr:cNvPr id="126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14065" y="142494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153035</xdr:colOff>
      <xdr:row>5</xdr:row>
      <xdr:rowOff>9525</xdr:rowOff>
    </xdr:to>
    <xdr:pic>
      <xdr:nvPicPr>
        <xdr:cNvPr id="127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14065" y="142494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10160</xdr:colOff>
      <xdr:row>28</xdr:row>
      <xdr:rowOff>151765</xdr:rowOff>
    </xdr:to>
    <xdr:pic>
      <xdr:nvPicPr>
        <xdr:cNvPr id="134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96370" y="68580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151765</xdr:colOff>
      <xdr:row>28</xdr:row>
      <xdr:rowOff>8890</xdr:rowOff>
    </xdr:to>
    <xdr:pic>
      <xdr:nvPicPr>
        <xdr:cNvPr id="135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96370" y="68580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10160</xdr:colOff>
      <xdr:row>28</xdr:row>
      <xdr:rowOff>151765</xdr:rowOff>
    </xdr:to>
    <xdr:pic>
      <xdr:nvPicPr>
        <xdr:cNvPr id="146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88440" y="68580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151765</xdr:colOff>
      <xdr:row>28</xdr:row>
      <xdr:rowOff>8890</xdr:rowOff>
    </xdr:to>
    <xdr:pic>
      <xdr:nvPicPr>
        <xdr:cNvPr id="147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88440" y="68580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4</xdr:col>
      <xdr:colOff>10160</xdr:colOff>
      <xdr:row>89</xdr:row>
      <xdr:rowOff>151765</xdr:rowOff>
    </xdr:to>
    <xdr:pic>
      <xdr:nvPicPr>
        <xdr:cNvPr id="160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14065" y="2126742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4</xdr:col>
      <xdr:colOff>151765</xdr:colOff>
      <xdr:row>89</xdr:row>
      <xdr:rowOff>8890</xdr:rowOff>
    </xdr:to>
    <xdr:pic>
      <xdr:nvPicPr>
        <xdr:cNvPr id="161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14065" y="2126742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19050</xdr:colOff>
      <xdr:row>89</xdr:row>
      <xdr:rowOff>0</xdr:rowOff>
    </xdr:from>
    <xdr:to>
      <xdr:col>11</xdr:col>
      <xdr:colOff>28575</xdr:colOff>
      <xdr:row>90</xdr:row>
      <xdr:rowOff>98425</xdr:rowOff>
    </xdr:to>
    <xdr:pic>
      <xdr:nvPicPr>
        <xdr:cNvPr id="162" name="Picture 2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9204960" y="21267420"/>
          <a:ext cx="952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0</xdr:colOff>
      <xdr:row>89</xdr:row>
      <xdr:rowOff>0</xdr:rowOff>
    </xdr:from>
    <xdr:to>
      <xdr:col>13</xdr:col>
      <xdr:colOff>10160</xdr:colOff>
      <xdr:row>89</xdr:row>
      <xdr:rowOff>151765</xdr:rowOff>
    </xdr:to>
    <xdr:pic>
      <xdr:nvPicPr>
        <xdr:cNvPr id="165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28350" y="2126742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89</xdr:row>
      <xdr:rowOff>0</xdr:rowOff>
    </xdr:from>
    <xdr:to>
      <xdr:col>13</xdr:col>
      <xdr:colOff>151765</xdr:colOff>
      <xdr:row>89</xdr:row>
      <xdr:rowOff>8890</xdr:rowOff>
    </xdr:to>
    <xdr:pic>
      <xdr:nvPicPr>
        <xdr:cNvPr id="166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28350" y="2126742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89</xdr:row>
      <xdr:rowOff>0</xdr:rowOff>
    </xdr:from>
    <xdr:to>
      <xdr:col>16</xdr:col>
      <xdr:colOff>9525</xdr:colOff>
      <xdr:row>89</xdr:row>
      <xdr:rowOff>152400</xdr:rowOff>
    </xdr:to>
    <xdr:pic>
      <xdr:nvPicPr>
        <xdr:cNvPr id="167" name="图片 127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4188440" y="21267420"/>
          <a:ext cx="95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89</xdr:row>
      <xdr:rowOff>0</xdr:rowOff>
    </xdr:from>
    <xdr:to>
      <xdr:col>16</xdr:col>
      <xdr:colOff>152400</xdr:colOff>
      <xdr:row>89</xdr:row>
      <xdr:rowOff>9525</xdr:rowOff>
    </xdr:to>
    <xdr:pic>
      <xdr:nvPicPr>
        <xdr:cNvPr id="168" name="图片 383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4188440" y="21267420"/>
          <a:ext cx="1524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89</xdr:row>
      <xdr:rowOff>0</xdr:rowOff>
    </xdr:from>
    <xdr:to>
      <xdr:col>16</xdr:col>
      <xdr:colOff>10160</xdr:colOff>
      <xdr:row>89</xdr:row>
      <xdr:rowOff>152400</xdr:rowOff>
    </xdr:to>
    <xdr:pic>
      <xdr:nvPicPr>
        <xdr:cNvPr id="183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88440" y="2126742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89</xdr:row>
      <xdr:rowOff>0</xdr:rowOff>
    </xdr:from>
    <xdr:to>
      <xdr:col>16</xdr:col>
      <xdr:colOff>152400</xdr:colOff>
      <xdr:row>89</xdr:row>
      <xdr:rowOff>9525</xdr:rowOff>
    </xdr:to>
    <xdr:pic>
      <xdr:nvPicPr>
        <xdr:cNvPr id="184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88440" y="2126742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4</xdr:col>
      <xdr:colOff>9525</xdr:colOff>
      <xdr:row>89</xdr:row>
      <xdr:rowOff>152400</xdr:rowOff>
    </xdr:to>
    <xdr:pic>
      <xdr:nvPicPr>
        <xdr:cNvPr id="185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14065" y="2126742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4</xdr:col>
      <xdr:colOff>153035</xdr:colOff>
      <xdr:row>89</xdr:row>
      <xdr:rowOff>9525</xdr:rowOff>
    </xdr:to>
    <xdr:pic>
      <xdr:nvPicPr>
        <xdr:cNvPr id="186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14065" y="2126742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89</xdr:row>
      <xdr:rowOff>0</xdr:rowOff>
    </xdr:from>
    <xdr:to>
      <xdr:col>14</xdr:col>
      <xdr:colOff>10160</xdr:colOff>
      <xdr:row>89</xdr:row>
      <xdr:rowOff>151765</xdr:rowOff>
    </xdr:to>
    <xdr:pic>
      <xdr:nvPicPr>
        <xdr:cNvPr id="190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96370" y="2126742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89</xdr:row>
      <xdr:rowOff>0</xdr:rowOff>
    </xdr:from>
    <xdr:to>
      <xdr:col>14</xdr:col>
      <xdr:colOff>151765</xdr:colOff>
      <xdr:row>89</xdr:row>
      <xdr:rowOff>8890</xdr:rowOff>
    </xdr:to>
    <xdr:pic>
      <xdr:nvPicPr>
        <xdr:cNvPr id="191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96370" y="2126742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89</xdr:row>
      <xdr:rowOff>0</xdr:rowOff>
    </xdr:from>
    <xdr:to>
      <xdr:col>16</xdr:col>
      <xdr:colOff>10160</xdr:colOff>
      <xdr:row>89</xdr:row>
      <xdr:rowOff>151765</xdr:rowOff>
    </xdr:to>
    <xdr:pic>
      <xdr:nvPicPr>
        <xdr:cNvPr id="196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88440" y="2126742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89</xdr:row>
      <xdr:rowOff>0</xdr:rowOff>
    </xdr:from>
    <xdr:to>
      <xdr:col>16</xdr:col>
      <xdr:colOff>151765</xdr:colOff>
      <xdr:row>89</xdr:row>
      <xdr:rowOff>8890</xdr:rowOff>
    </xdr:to>
    <xdr:pic>
      <xdr:nvPicPr>
        <xdr:cNvPr id="197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88440" y="2126742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956310</xdr:colOff>
      <xdr:row>89</xdr:row>
      <xdr:rowOff>0</xdr:rowOff>
    </xdr:from>
    <xdr:to>
      <xdr:col>2</xdr:col>
      <xdr:colOff>1013460</xdr:colOff>
      <xdr:row>1042665</xdr:row>
      <xdr:rowOff>99059</xdr:rowOff>
    </xdr:to>
    <xdr:pic>
      <xdr:nvPicPr>
        <xdr:cNvPr id="199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63470" y="21267420"/>
          <a:ext cx="57150" cy="185370111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9525</xdr:colOff>
      <xdr:row>1042665</xdr:row>
      <xdr:rowOff>99059</xdr:rowOff>
    </xdr:to>
    <xdr:pic>
      <xdr:nvPicPr>
        <xdr:cNvPr id="205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45385" y="21267420"/>
          <a:ext cx="9525" cy="185370111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217805</xdr:colOff>
      <xdr:row>89</xdr:row>
      <xdr:rowOff>0</xdr:rowOff>
    </xdr:from>
    <xdr:to>
      <xdr:col>3</xdr:col>
      <xdr:colOff>370840</xdr:colOff>
      <xdr:row>1045005</xdr:row>
      <xdr:rowOff>10159</xdr:rowOff>
    </xdr:to>
    <xdr:pic>
      <xdr:nvPicPr>
        <xdr:cNvPr id="206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3190" y="21267420"/>
          <a:ext cx="153035" cy="185786074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89</xdr:row>
      <xdr:rowOff>0</xdr:rowOff>
    </xdr:from>
    <xdr:to>
      <xdr:col>16</xdr:col>
      <xdr:colOff>151765</xdr:colOff>
      <xdr:row>1042665</xdr:row>
      <xdr:rowOff>99059</xdr:rowOff>
    </xdr:to>
    <xdr:pic>
      <xdr:nvPicPr>
        <xdr:cNvPr id="21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88440" y="21267420"/>
          <a:ext cx="151765" cy="185370111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852170</xdr:colOff>
      <xdr:row>89</xdr:row>
      <xdr:rowOff>0</xdr:rowOff>
    </xdr:from>
    <xdr:to>
      <xdr:col>2</xdr:col>
      <xdr:colOff>1004570</xdr:colOff>
      <xdr:row>89</xdr:row>
      <xdr:rowOff>9525</xdr:rowOff>
    </xdr:to>
    <xdr:pic>
      <xdr:nvPicPr>
        <xdr:cNvPr id="244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59330" y="2126742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8890</xdr:colOff>
      <xdr:row>89</xdr:row>
      <xdr:rowOff>151765</xdr:rowOff>
    </xdr:to>
    <xdr:pic>
      <xdr:nvPicPr>
        <xdr:cNvPr id="1272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45385" y="21267420"/>
          <a:ext cx="889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8255</xdr:colOff>
      <xdr:row>89</xdr:row>
      <xdr:rowOff>151130</xdr:rowOff>
    </xdr:to>
    <xdr:pic>
      <xdr:nvPicPr>
        <xdr:cNvPr id="1274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45385" y="21267420"/>
          <a:ext cx="8255" cy="151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151765</xdr:colOff>
      <xdr:row>89</xdr:row>
      <xdr:rowOff>9525</xdr:rowOff>
    </xdr:to>
    <xdr:pic>
      <xdr:nvPicPr>
        <xdr:cNvPr id="1275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45385" y="21267420"/>
          <a:ext cx="1517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742950</xdr:colOff>
      <xdr:row>89</xdr:row>
      <xdr:rowOff>0</xdr:rowOff>
    </xdr:from>
    <xdr:to>
      <xdr:col>2</xdr:col>
      <xdr:colOff>895350</xdr:colOff>
      <xdr:row>89</xdr:row>
      <xdr:rowOff>9525</xdr:rowOff>
    </xdr:to>
    <xdr:pic>
      <xdr:nvPicPr>
        <xdr:cNvPr id="30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50110" y="2126742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9525</xdr:colOff>
      <xdr:row>1044185</xdr:row>
      <xdr:rowOff>127000</xdr:rowOff>
    </xdr:to>
    <xdr:pic>
      <xdr:nvPicPr>
        <xdr:cNvPr id="138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07160" y="21267420"/>
          <a:ext cx="9525" cy="18564039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153035</xdr:colOff>
      <xdr:row>1044185</xdr:row>
      <xdr:rowOff>127000</xdr:rowOff>
    </xdr:to>
    <xdr:pic>
      <xdr:nvPicPr>
        <xdr:cNvPr id="139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07160" y="21267420"/>
          <a:ext cx="153035" cy="18564039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10160</xdr:colOff>
      <xdr:row>1044185</xdr:row>
      <xdr:rowOff>127000</xdr:rowOff>
    </xdr:to>
    <xdr:pic>
      <xdr:nvPicPr>
        <xdr:cNvPr id="140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07160" y="21267420"/>
          <a:ext cx="10160" cy="18564039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151765</xdr:colOff>
      <xdr:row>1044185</xdr:row>
      <xdr:rowOff>127000</xdr:rowOff>
    </xdr:to>
    <xdr:pic>
      <xdr:nvPicPr>
        <xdr:cNvPr id="141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07160" y="21267420"/>
          <a:ext cx="151765" cy="18564039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9525</xdr:colOff>
      <xdr:row>89</xdr:row>
      <xdr:rowOff>0</xdr:rowOff>
    </xdr:to>
    <xdr:pic>
      <xdr:nvPicPr>
        <xdr:cNvPr id="142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07160" y="21267420"/>
          <a:ext cx="95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153035</xdr:colOff>
      <xdr:row>89</xdr:row>
      <xdr:rowOff>0</xdr:rowOff>
    </xdr:to>
    <xdr:pic>
      <xdr:nvPicPr>
        <xdr:cNvPr id="143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07160" y="21267420"/>
          <a:ext cx="15303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10160</xdr:colOff>
      <xdr:row>89</xdr:row>
      <xdr:rowOff>0</xdr:rowOff>
    </xdr:to>
    <xdr:pic>
      <xdr:nvPicPr>
        <xdr:cNvPr id="144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07160" y="21267420"/>
          <a:ext cx="1016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151765</xdr:colOff>
      <xdr:row>89</xdr:row>
      <xdr:rowOff>0</xdr:rowOff>
    </xdr:to>
    <xdr:pic>
      <xdr:nvPicPr>
        <xdr:cNvPr id="145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07160" y="21267420"/>
          <a:ext cx="1517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9525</xdr:colOff>
      <xdr:row>1040463</xdr:row>
      <xdr:rowOff>144780</xdr:rowOff>
    </xdr:to>
    <xdr:pic>
      <xdr:nvPicPr>
        <xdr:cNvPr id="148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07160" y="21267420"/>
          <a:ext cx="9525" cy="18497864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153035</xdr:colOff>
      <xdr:row>1040463</xdr:row>
      <xdr:rowOff>144780</xdr:rowOff>
    </xdr:to>
    <xdr:pic>
      <xdr:nvPicPr>
        <xdr:cNvPr id="149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07160" y="21267420"/>
          <a:ext cx="153035" cy="18497864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10160</xdr:colOff>
      <xdr:row>1040463</xdr:row>
      <xdr:rowOff>144780</xdr:rowOff>
    </xdr:to>
    <xdr:pic>
      <xdr:nvPicPr>
        <xdr:cNvPr id="150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07160" y="21267420"/>
          <a:ext cx="10160" cy="18497864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151765</xdr:colOff>
      <xdr:row>1040463</xdr:row>
      <xdr:rowOff>144780</xdr:rowOff>
    </xdr:to>
    <xdr:pic>
      <xdr:nvPicPr>
        <xdr:cNvPr id="151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07160" y="21267420"/>
          <a:ext cx="151765" cy="18497864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0</xdr:row>
      <xdr:rowOff>635</xdr:rowOff>
    </xdr:from>
    <xdr:to>
      <xdr:col>2</xdr:col>
      <xdr:colOff>151765</xdr:colOff>
      <xdr:row>1038663</xdr:row>
      <xdr:rowOff>97155</xdr:rowOff>
    </xdr:to>
    <xdr:pic>
      <xdr:nvPicPr>
        <xdr:cNvPr id="152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07160" y="635"/>
          <a:ext cx="151765" cy="184679821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9525</xdr:colOff>
      <xdr:row>5</xdr:row>
      <xdr:rowOff>152400</xdr:rowOff>
    </xdr:to>
    <xdr:pic>
      <xdr:nvPicPr>
        <xdr:cNvPr id="153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07160" y="142494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153035</xdr:colOff>
      <xdr:row>5</xdr:row>
      <xdr:rowOff>9525</xdr:rowOff>
    </xdr:to>
    <xdr:pic>
      <xdr:nvPicPr>
        <xdr:cNvPr id="154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07160" y="142494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10160</xdr:colOff>
      <xdr:row>89</xdr:row>
      <xdr:rowOff>151765</xdr:rowOff>
    </xdr:to>
    <xdr:pic>
      <xdr:nvPicPr>
        <xdr:cNvPr id="155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07160" y="2126742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151765</xdr:colOff>
      <xdr:row>89</xdr:row>
      <xdr:rowOff>8890</xdr:rowOff>
    </xdr:to>
    <xdr:pic>
      <xdr:nvPicPr>
        <xdr:cNvPr id="156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07160" y="2126742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9525</xdr:colOff>
      <xdr:row>89</xdr:row>
      <xdr:rowOff>152400</xdr:rowOff>
    </xdr:to>
    <xdr:pic>
      <xdr:nvPicPr>
        <xdr:cNvPr id="157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07160" y="2126742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153035</xdr:colOff>
      <xdr:row>89</xdr:row>
      <xdr:rowOff>9525</xdr:rowOff>
    </xdr:to>
    <xdr:pic>
      <xdr:nvPicPr>
        <xdr:cNvPr id="158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07160" y="2126742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19050</xdr:colOff>
      <xdr:row>89</xdr:row>
      <xdr:rowOff>0</xdr:rowOff>
    </xdr:from>
    <xdr:to>
      <xdr:col>11</xdr:col>
      <xdr:colOff>28575</xdr:colOff>
      <xdr:row>90</xdr:row>
      <xdr:rowOff>112395</xdr:rowOff>
    </xdr:to>
    <xdr:pic>
      <xdr:nvPicPr>
        <xdr:cNvPr id="31" name="Picture 2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9204960" y="21267420"/>
          <a:ext cx="9525" cy="2901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10160</xdr:colOff>
      <xdr:row>29</xdr:row>
      <xdr:rowOff>151765</xdr:rowOff>
    </xdr:to>
    <xdr:pic>
      <xdr:nvPicPr>
        <xdr:cNvPr id="43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96370" y="709422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151765</xdr:colOff>
      <xdr:row>29</xdr:row>
      <xdr:rowOff>8890</xdr:rowOff>
    </xdr:to>
    <xdr:pic>
      <xdr:nvPicPr>
        <xdr:cNvPr id="44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96370" y="709422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10160</xdr:colOff>
      <xdr:row>29</xdr:row>
      <xdr:rowOff>151765</xdr:rowOff>
    </xdr:to>
    <xdr:pic>
      <xdr:nvPicPr>
        <xdr:cNvPr id="45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88440" y="709422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151765</xdr:colOff>
      <xdr:row>29</xdr:row>
      <xdr:rowOff>8890</xdr:rowOff>
    </xdr:to>
    <xdr:pic>
      <xdr:nvPicPr>
        <xdr:cNvPr id="46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88440" y="709422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852170</xdr:colOff>
      <xdr:row>89</xdr:row>
      <xdr:rowOff>0</xdr:rowOff>
    </xdr:from>
    <xdr:to>
      <xdr:col>2</xdr:col>
      <xdr:colOff>1004570</xdr:colOff>
      <xdr:row>89</xdr:row>
      <xdr:rowOff>9525</xdr:rowOff>
    </xdr:to>
    <xdr:pic>
      <xdr:nvPicPr>
        <xdr:cNvPr id="47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59330" y="2126742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8890</xdr:colOff>
      <xdr:row>89</xdr:row>
      <xdr:rowOff>151765</xdr:rowOff>
    </xdr:to>
    <xdr:pic>
      <xdr:nvPicPr>
        <xdr:cNvPr id="48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45385" y="21267420"/>
          <a:ext cx="889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8255</xdr:colOff>
      <xdr:row>89</xdr:row>
      <xdr:rowOff>151130</xdr:rowOff>
    </xdr:to>
    <xdr:pic>
      <xdr:nvPicPr>
        <xdr:cNvPr id="50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45385" y="21267420"/>
          <a:ext cx="8255" cy="151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151765</xdr:colOff>
      <xdr:row>89</xdr:row>
      <xdr:rowOff>9525</xdr:rowOff>
    </xdr:to>
    <xdr:pic>
      <xdr:nvPicPr>
        <xdr:cNvPr id="51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45385" y="21267420"/>
          <a:ext cx="1517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742950</xdr:colOff>
      <xdr:row>89</xdr:row>
      <xdr:rowOff>0</xdr:rowOff>
    </xdr:from>
    <xdr:to>
      <xdr:col>2</xdr:col>
      <xdr:colOff>895350</xdr:colOff>
      <xdr:row>89</xdr:row>
      <xdr:rowOff>9525</xdr:rowOff>
    </xdr:to>
    <xdr:pic>
      <xdr:nvPicPr>
        <xdr:cNvPr id="78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50110" y="2126742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8890</xdr:colOff>
      <xdr:row>89</xdr:row>
      <xdr:rowOff>151765</xdr:rowOff>
    </xdr:to>
    <xdr:pic>
      <xdr:nvPicPr>
        <xdr:cNvPr id="28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45385" y="21267420"/>
          <a:ext cx="889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152400</xdr:colOff>
      <xdr:row>89</xdr:row>
      <xdr:rowOff>9525</xdr:rowOff>
    </xdr:to>
    <xdr:pic>
      <xdr:nvPicPr>
        <xdr:cNvPr id="32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45385" y="2126742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8255</xdr:colOff>
      <xdr:row>89</xdr:row>
      <xdr:rowOff>151130</xdr:rowOff>
    </xdr:to>
    <xdr:pic>
      <xdr:nvPicPr>
        <xdr:cNvPr id="83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45385" y="21267420"/>
          <a:ext cx="8255" cy="151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151765</xdr:colOff>
      <xdr:row>89</xdr:row>
      <xdr:rowOff>9525</xdr:rowOff>
    </xdr:to>
    <xdr:pic>
      <xdr:nvPicPr>
        <xdr:cNvPr id="90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45385" y="21267420"/>
          <a:ext cx="1517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742950</xdr:colOff>
      <xdr:row>89</xdr:row>
      <xdr:rowOff>0</xdr:rowOff>
    </xdr:from>
    <xdr:to>
      <xdr:col>2</xdr:col>
      <xdr:colOff>895350</xdr:colOff>
      <xdr:row>89</xdr:row>
      <xdr:rowOff>9525</xdr:rowOff>
    </xdr:to>
    <xdr:pic>
      <xdr:nvPicPr>
        <xdr:cNvPr id="93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50110" y="2126742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9525</xdr:colOff>
      <xdr:row>89</xdr:row>
      <xdr:rowOff>152400</xdr:rowOff>
    </xdr:to>
    <xdr:pic>
      <xdr:nvPicPr>
        <xdr:cNvPr id="94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45385" y="2126742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153035</xdr:colOff>
      <xdr:row>89</xdr:row>
      <xdr:rowOff>9525</xdr:rowOff>
    </xdr:to>
    <xdr:pic>
      <xdr:nvPicPr>
        <xdr:cNvPr id="97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45385" y="2126742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742950</xdr:colOff>
      <xdr:row>89</xdr:row>
      <xdr:rowOff>0</xdr:rowOff>
    </xdr:from>
    <xdr:to>
      <xdr:col>2</xdr:col>
      <xdr:colOff>895350</xdr:colOff>
      <xdr:row>89</xdr:row>
      <xdr:rowOff>9525</xdr:rowOff>
    </xdr:to>
    <xdr:pic>
      <xdr:nvPicPr>
        <xdr:cNvPr id="98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50110" y="2126742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742950</xdr:colOff>
      <xdr:row>89</xdr:row>
      <xdr:rowOff>0</xdr:rowOff>
    </xdr:from>
    <xdr:to>
      <xdr:col>2</xdr:col>
      <xdr:colOff>895350</xdr:colOff>
      <xdr:row>89</xdr:row>
      <xdr:rowOff>9525</xdr:rowOff>
    </xdr:to>
    <xdr:pic>
      <xdr:nvPicPr>
        <xdr:cNvPr id="101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50110" y="2126742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4</xdr:col>
      <xdr:colOff>9525</xdr:colOff>
      <xdr:row>89</xdr:row>
      <xdr:rowOff>152400</xdr:rowOff>
    </xdr:to>
    <xdr:pic>
      <xdr:nvPicPr>
        <xdr:cNvPr id="102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14065" y="2126742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4</xdr:col>
      <xdr:colOff>153035</xdr:colOff>
      <xdr:row>89</xdr:row>
      <xdr:rowOff>9525</xdr:rowOff>
    </xdr:to>
    <xdr:pic>
      <xdr:nvPicPr>
        <xdr:cNvPr id="111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14065" y="2126742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9525</xdr:colOff>
      <xdr:row>89</xdr:row>
      <xdr:rowOff>152400</xdr:rowOff>
    </xdr:to>
    <xdr:pic>
      <xdr:nvPicPr>
        <xdr:cNvPr id="115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45385" y="2126742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153035</xdr:colOff>
      <xdr:row>89</xdr:row>
      <xdr:rowOff>9525</xdr:rowOff>
    </xdr:to>
    <xdr:pic>
      <xdr:nvPicPr>
        <xdr:cNvPr id="116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45385" y="2126742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8890</xdr:colOff>
      <xdr:row>89</xdr:row>
      <xdr:rowOff>151765</xdr:rowOff>
    </xdr:to>
    <xdr:pic>
      <xdr:nvPicPr>
        <xdr:cNvPr id="120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45385" y="21267420"/>
          <a:ext cx="889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152400</xdr:colOff>
      <xdr:row>89</xdr:row>
      <xdr:rowOff>9525</xdr:rowOff>
    </xdr:to>
    <xdr:pic>
      <xdr:nvPicPr>
        <xdr:cNvPr id="123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45385" y="2126742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57150</xdr:colOff>
      <xdr:row>89</xdr:row>
      <xdr:rowOff>9525</xdr:rowOff>
    </xdr:to>
    <xdr:pic>
      <xdr:nvPicPr>
        <xdr:cNvPr id="124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45385" y="21267420"/>
          <a:ext cx="5715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1003935</xdr:colOff>
      <xdr:row>89</xdr:row>
      <xdr:rowOff>0</xdr:rowOff>
    </xdr:from>
    <xdr:to>
      <xdr:col>3</xdr:col>
      <xdr:colOff>52705</xdr:colOff>
      <xdr:row>89</xdr:row>
      <xdr:rowOff>9525</xdr:rowOff>
    </xdr:to>
    <xdr:pic>
      <xdr:nvPicPr>
        <xdr:cNvPr id="125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11095" y="21267420"/>
          <a:ext cx="869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4</xdr:col>
      <xdr:colOff>10160</xdr:colOff>
      <xdr:row>89</xdr:row>
      <xdr:rowOff>151765</xdr:rowOff>
    </xdr:to>
    <xdr:pic>
      <xdr:nvPicPr>
        <xdr:cNvPr id="128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14065" y="2126742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4</xdr:col>
      <xdr:colOff>151765</xdr:colOff>
      <xdr:row>89</xdr:row>
      <xdr:rowOff>8890</xdr:rowOff>
    </xdr:to>
    <xdr:pic>
      <xdr:nvPicPr>
        <xdr:cNvPr id="12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14065" y="2126742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142240</xdr:colOff>
      <xdr:row>89</xdr:row>
      <xdr:rowOff>9525</xdr:rowOff>
    </xdr:to>
    <xdr:pic>
      <xdr:nvPicPr>
        <xdr:cNvPr id="130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45385" y="21267420"/>
          <a:ext cx="14224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8255</xdr:colOff>
      <xdr:row>89</xdr:row>
      <xdr:rowOff>151130</xdr:rowOff>
    </xdr:to>
    <xdr:pic>
      <xdr:nvPicPr>
        <xdr:cNvPr id="131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45385" y="21267420"/>
          <a:ext cx="8255" cy="151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151765</xdr:colOff>
      <xdr:row>89</xdr:row>
      <xdr:rowOff>9525</xdr:rowOff>
    </xdr:to>
    <xdr:pic>
      <xdr:nvPicPr>
        <xdr:cNvPr id="132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45385" y="21267420"/>
          <a:ext cx="1517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9525</xdr:colOff>
      <xdr:row>31</xdr:row>
      <xdr:rowOff>152400</xdr:rowOff>
    </xdr:to>
    <xdr:pic>
      <xdr:nvPicPr>
        <xdr:cNvPr id="133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14065" y="756666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153035</xdr:colOff>
      <xdr:row>31</xdr:row>
      <xdr:rowOff>9525</xdr:rowOff>
    </xdr:to>
    <xdr:pic>
      <xdr:nvPicPr>
        <xdr:cNvPr id="136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14065" y="756666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89</xdr:row>
      <xdr:rowOff>0</xdr:rowOff>
    </xdr:from>
    <xdr:to>
      <xdr:col>13</xdr:col>
      <xdr:colOff>10160</xdr:colOff>
      <xdr:row>89</xdr:row>
      <xdr:rowOff>151765</xdr:rowOff>
    </xdr:to>
    <xdr:pic>
      <xdr:nvPicPr>
        <xdr:cNvPr id="163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28350" y="2126742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89</xdr:row>
      <xdr:rowOff>0</xdr:rowOff>
    </xdr:from>
    <xdr:to>
      <xdr:col>13</xdr:col>
      <xdr:colOff>151765</xdr:colOff>
      <xdr:row>89</xdr:row>
      <xdr:rowOff>8890</xdr:rowOff>
    </xdr:to>
    <xdr:pic>
      <xdr:nvPicPr>
        <xdr:cNvPr id="164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28350" y="2126742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89</xdr:row>
      <xdr:rowOff>0</xdr:rowOff>
    </xdr:from>
    <xdr:to>
      <xdr:col>16</xdr:col>
      <xdr:colOff>9525</xdr:colOff>
      <xdr:row>89</xdr:row>
      <xdr:rowOff>152400</xdr:rowOff>
    </xdr:to>
    <xdr:pic>
      <xdr:nvPicPr>
        <xdr:cNvPr id="169" name="图片 127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4188440" y="21267420"/>
          <a:ext cx="95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89</xdr:row>
      <xdr:rowOff>0</xdr:rowOff>
    </xdr:from>
    <xdr:to>
      <xdr:col>16</xdr:col>
      <xdr:colOff>152400</xdr:colOff>
      <xdr:row>89</xdr:row>
      <xdr:rowOff>9525</xdr:rowOff>
    </xdr:to>
    <xdr:pic>
      <xdr:nvPicPr>
        <xdr:cNvPr id="170" name="图片 383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4188440" y="21267420"/>
          <a:ext cx="1524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89</xdr:row>
      <xdr:rowOff>0</xdr:rowOff>
    </xdr:from>
    <xdr:to>
      <xdr:col>16</xdr:col>
      <xdr:colOff>10160</xdr:colOff>
      <xdr:row>89</xdr:row>
      <xdr:rowOff>152400</xdr:rowOff>
    </xdr:to>
    <xdr:pic>
      <xdr:nvPicPr>
        <xdr:cNvPr id="171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88440" y="2126742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89</xdr:row>
      <xdr:rowOff>0</xdr:rowOff>
    </xdr:from>
    <xdr:to>
      <xdr:col>16</xdr:col>
      <xdr:colOff>152400</xdr:colOff>
      <xdr:row>89</xdr:row>
      <xdr:rowOff>9525</xdr:rowOff>
    </xdr:to>
    <xdr:pic>
      <xdr:nvPicPr>
        <xdr:cNvPr id="172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88440" y="2126742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89</xdr:row>
      <xdr:rowOff>0</xdr:rowOff>
    </xdr:from>
    <xdr:to>
      <xdr:col>16</xdr:col>
      <xdr:colOff>10160</xdr:colOff>
      <xdr:row>89</xdr:row>
      <xdr:rowOff>151765</xdr:rowOff>
    </xdr:to>
    <xdr:pic>
      <xdr:nvPicPr>
        <xdr:cNvPr id="173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88440" y="2126742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89</xdr:row>
      <xdr:rowOff>0</xdr:rowOff>
    </xdr:from>
    <xdr:to>
      <xdr:col>16</xdr:col>
      <xdr:colOff>151765</xdr:colOff>
      <xdr:row>89</xdr:row>
      <xdr:rowOff>8890</xdr:rowOff>
    </xdr:to>
    <xdr:pic>
      <xdr:nvPicPr>
        <xdr:cNvPr id="174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88440" y="2126742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89</xdr:row>
      <xdr:rowOff>0</xdr:rowOff>
    </xdr:from>
    <xdr:to>
      <xdr:col>13</xdr:col>
      <xdr:colOff>10160</xdr:colOff>
      <xdr:row>89</xdr:row>
      <xdr:rowOff>151765</xdr:rowOff>
    </xdr:to>
    <xdr:pic>
      <xdr:nvPicPr>
        <xdr:cNvPr id="175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28350" y="2126742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89</xdr:row>
      <xdr:rowOff>0</xdr:rowOff>
    </xdr:from>
    <xdr:to>
      <xdr:col>13</xdr:col>
      <xdr:colOff>151765</xdr:colOff>
      <xdr:row>89</xdr:row>
      <xdr:rowOff>8890</xdr:rowOff>
    </xdr:to>
    <xdr:pic>
      <xdr:nvPicPr>
        <xdr:cNvPr id="176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28350" y="2126742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89</xdr:row>
      <xdr:rowOff>0</xdr:rowOff>
    </xdr:from>
    <xdr:to>
      <xdr:col>13</xdr:col>
      <xdr:colOff>10160</xdr:colOff>
      <xdr:row>89</xdr:row>
      <xdr:rowOff>151765</xdr:rowOff>
    </xdr:to>
    <xdr:pic>
      <xdr:nvPicPr>
        <xdr:cNvPr id="177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28350" y="2126742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89</xdr:row>
      <xdr:rowOff>0</xdr:rowOff>
    </xdr:from>
    <xdr:to>
      <xdr:col>13</xdr:col>
      <xdr:colOff>151765</xdr:colOff>
      <xdr:row>89</xdr:row>
      <xdr:rowOff>8890</xdr:rowOff>
    </xdr:to>
    <xdr:pic>
      <xdr:nvPicPr>
        <xdr:cNvPr id="178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28350" y="2126742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852170</xdr:colOff>
      <xdr:row>89</xdr:row>
      <xdr:rowOff>0</xdr:rowOff>
    </xdr:from>
    <xdr:to>
      <xdr:col>2</xdr:col>
      <xdr:colOff>1004570</xdr:colOff>
      <xdr:row>89</xdr:row>
      <xdr:rowOff>9525</xdr:rowOff>
    </xdr:to>
    <xdr:pic>
      <xdr:nvPicPr>
        <xdr:cNvPr id="179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59330" y="2126742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852170</xdr:colOff>
      <xdr:row>89</xdr:row>
      <xdr:rowOff>0</xdr:rowOff>
    </xdr:from>
    <xdr:to>
      <xdr:col>2</xdr:col>
      <xdr:colOff>1004570</xdr:colOff>
      <xdr:row>89</xdr:row>
      <xdr:rowOff>9525</xdr:rowOff>
    </xdr:to>
    <xdr:pic>
      <xdr:nvPicPr>
        <xdr:cNvPr id="180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59330" y="2126742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89</xdr:row>
      <xdr:rowOff>0</xdr:rowOff>
    </xdr:from>
    <xdr:to>
      <xdr:col>16</xdr:col>
      <xdr:colOff>10160</xdr:colOff>
      <xdr:row>89</xdr:row>
      <xdr:rowOff>152400</xdr:rowOff>
    </xdr:to>
    <xdr:pic>
      <xdr:nvPicPr>
        <xdr:cNvPr id="181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88440" y="2126742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89</xdr:row>
      <xdr:rowOff>0</xdr:rowOff>
    </xdr:from>
    <xdr:to>
      <xdr:col>16</xdr:col>
      <xdr:colOff>152400</xdr:colOff>
      <xdr:row>89</xdr:row>
      <xdr:rowOff>9525</xdr:rowOff>
    </xdr:to>
    <xdr:pic>
      <xdr:nvPicPr>
        <xdr:cNvPr id="182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88440" y="2126742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89</xdr:row>
      <xdr:rowOff>0</xdr:rowOff>
    </xdr:from>
    <xdr:to>
      <xdr:col>16</xdr:col>
      <xdr:colOff>10160</xdr:colOff>
      <xdr:row>89</xdr:row>
      <xdr:rowOff>151765</xdr:rowOff>
    </xdr:to>
    <xdr:pic>
      <xdr:nvPicPr>
        <xdr:cNvPr id="187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88440" y="2126742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89</xdr:row>
      <xdr:rowOff>0</xdr:rowOff>
    </xdr:from>
    <xdr:to>
      <xdr:col>16</xdr:col>
      <xdr:colOff>151765</xdr:colOff>
      <xdr:row>89</xdr:row>
      <xdr:rowOff>8890</xdr:rowOff>
    </xdr:to>
    <xdr:pic>
      <xdr:nvPicPr>
        <xdr:cNvPr id="188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88440" y="2126742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89</xdr:row>
      <xdr:rowOff>0</xdr:rowOff>
    </xdr:from>
    <xdr:to>
      <xdr:col>16</xdr:col>
      <xdr:colOff>10160</xdr:colOff>
      <xdr:row>89</xdr:row>
      <xdr:rowOff>152400</xdr:rowOff>
    </xdr:to>
    <xdr:pic>
      <xdr:nvPicPr>
        <xdr:cNvPr id="189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88440" y="2126742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89</xdr:row>
      <xdr:rowOff>0</xdr:rowOff>
    </xdr:from>
    <xdr:to>
      <xdr:col>16</xdr:col>
      <xdr:colOff>152400</xdr:colOff>
      <xdr:row>89</xdr:row>
      <xdr:rowOff>9525</xdr:rowOff>
    </xdr:to>
    <xdr:pic>
      <xdr:nvPicPr>
        <xdr:cNvPr id="192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88440" y="2126742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89</xdr:row>
      <xdr:rowOff>0</xdr:rowOff>
    </xdr:from>
    <xdr:to>
      <xdr:col>16</xdr:col>
      <xdr:colOff>10160</xdr:colOff>
      <xdr:row>89</xdr:row>
      <xdr:rowOff>151765</xdr:rowOff>
    </xdr:to>
    <xdr:pic>
      <xdr:nvPicPr>
        <xdr:cNvPr id="193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88440" y="2126742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89</xdr:row>
      <xdr:rowOff>0</xdr:rowOff>
    </xdr:from>
    <xdr:to>
      <xdr:col>16</xdr:col>
      <xdr:colOff>151765</xdr:colOff>
      <xdr:row>89</xdr:row>
      <xdr:rowOff>8890</xdr:rowOff>
    </xdr:to>
    <xdr:pic>
      <xdr:nvPicPr>
        <xdr:cNvPr id="194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88440" y="2126742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10160</xdr:colOff>
      <xdr:row>28</xdr:row>
      <xdr:rowOff>151765</xdr:rowOff>
    </xdr:to>
    <xdr:pic>
      <xdr:nvPicPr>
        <xdr:cNvPr id="33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202920" y="68580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151765</xdr:colOff>
      <xdr:row>28</xdr:row>
      <xdr:rowOff>8890</xdr:rowOff>
    </xdr:to>
    <xdr:pic>
      <xdr:nvPicPr>
        <xdr:cNvPr id="40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202920" y="68580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10160</xdr:colOff>
      <xdr:row>29</xdr:row>
      <xdr:rowOff>151765</xdr:rowOff>
    </xdr:to>
    <xdr:pic>
      <xdr:nvPicPr>
        <xdr:cNvPr id="79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202920" y="709422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151765</xdr:colOff>
      <xdr:row>29</xdr:row>
      <xdr:rowOff>8890</xdr:rowOff>
    </xdr:to>
    <xdr:pic>
      <xdr:nvPicPr>
        <xdr:cNvPr id="82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202920" y="709422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10160</xdr:colOff>
      <xdr:row>28</xdr:row>
      <xdr:rowOff>151765</xdr:rowOff>
    </xdr:to>
    <xdr:pic>
      <xdr:nvPicPr>
        <xdr:cNvPr id="137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88440" y="68580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151765</xdr:colOff>
      <xdr:row>28</xdr:row>
      <xdr:rowOff>8890</xdr:rowOff>
    </xdr:to>
    <xdr:pic>
      <xdr:nvPicPr>
        <xdr:cNvPr id="15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88440" y="68580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10160</xdr:colOff>
      <xdr:row>29</xdr:row>
      <xdr:rowOff>151765</xdr:rowOff>
    </xdr:to>
    <xdr:pic>
      <xdr:nvPicPr>
        <xdr:cNvPr id="195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88440" y="709422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151765</xdr:colOff>
      <xdr:row>29</xdr:row>
      <xdr:rowOff>8890</xdr:rowOff>
    </xdr:to>
    <xdr:pic>
      <xdr:nvPicPr>
        <xdr:cNvPr id="198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88440" y="709422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8890</xdr:colOff>
      <xdr:row>89</xdr:row>
      <xdr:rowOff>151765</xdr:rowOff>
    </xdr:to>
    <xdr:pic>
      <xdr:nvPicPr>
        <xdr:cNvPr id="200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45385" y="21267420"/>
          <a:ext cx="889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152400</xdr:colOff>
      <xdr:row>89</xdr:row>
      <xdr:rowOff>9525</xdr:rowOff>
    </xdr:to>
    <xdr:pic>
      <xdr:nvPicPr>
        <xdr:cNvPr id="201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45385" y="2126742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8255</xdr:colOff>
      <xdr:row>89</xdr:row>
      <xdr:rowOff>151130</xdr:rowOff>
    </xdr:to>
    <xdr:pic>
      <xdr:nvPicPr>
        <xdr:cNvPr id="202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45385" y="21267420"/>
          <a:ext cx="8255" cy="151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151765</xdr:colOff>
      <xdr:row>89</xdr:row>
      <xdr:rowOff>9525</xdr:rowOff>
    </xdr:to>
    <xdr:pic>
      <xdr:nvPicPr>
        <xdr:cNvPr id="203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45385" y="21267420"/>
          <a:ext cx="1517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9525</xdr:colOff>
      <xdr:row>89</xdr:row>
      <xdr:rowOff>152400</xdr:rowOff>
    </xdr:to>
    <xdr:pic>
      <xdr:nvPicPr>
        <xdr:cNvPr id="204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45385" y="2126742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153035</xdr:colOff>
      <xdr:row>89</xdr:row>
      <xdr:rowOff>9525</xdr:rowOff>
    </xdr:to>
    <xdr:pic>
      <xdr:nvPicPr>
        <xdr:cNvPr id="207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45385" y="2126742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810260</xdr:colOff>
      <xdr:row>89</xdr:row>
      <xdr:rowOff>0</xdr:rowOff>
    </xdr:from>
    <xdr:to>
      <xdr:col>2</xdr:col>
      <xdr:colOff>962660</xdr:colOff>
      <xdr:row>89</xdr:row>
      <xdr:rowOff>9525</xdr:rowOff>
    </xdr:to>
    <xdr:pic>
      <xdr:nvPicPr>
        <xdr:cNvPr id="208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7420" y="2126742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810260</xdr:colOff>
      <xdr:row>89</xdr:row>
      <xdr:rowOff>0</xdr:rowOff>
    </xdr:from>
    <xdr:to>
      <xdr:col>2</xdr:col>
      <xdr:colOff>962660</xdr:colOff>
      <xdr:row>89</xdr:row>
      <xdr:rowOff>9525</xdr:rowOff>
    </xdr:to>
    <xdr:pic>
      <xdr:nvPicPr>
        <xdr:cNvPr id="209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7420" y="2126742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810260</xdr:colOff>
      <xdr:row>89</xdr:row>
      <xdr:rowOff>0</xdr:rowOff>
    </xdr:from>
    <xdr:to>
      <xdr:col>2</xdr:col>
      <xdr:colOff>962660</xdr:colOff>
      <xdr:row>89</xdr:row>
      <xdr:rowOff>9525</xdr:rowOff>
    </xdr:to>
    <xdr:pic>
      <xdr:nvPicPr>
        <xdr:cNvPr id="210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7420" y="2126742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810260</xdr:colOff>
      <xdr:row>89</xdr:row>
      <xdr:rowOff>0</xdr:rowOff>
    </xdr:from>
    <xdr:to>
      <xdr:col>2</xdr:col>
      <xdr:colOff>962660</xdr:colOff>
      <xdr:row>89</xdr:row>
      <xdr:rowOff>9525</xdr:rowOff>
    </xdr:to>
    <xdr:pic>
      <xdr:nvPicPr>
        <xdr:cNvPr id="211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7420" y="2126742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810260</xdr:colOff>
      <xdr:row>89</xdr:row>
      <xdr:rowOff>0</xdr:rowOff>
    </xdr:from>
    <xdr:to>
      <xdr:col>2</xdr:col>
      <xdr:colOff>962660</xdr:colOff>
      <xdr:row>89</xdr:row>
      <xdr:rowOff>9525</xdr:rowOff>
    </xdr:to>
    <xdr:pic>
      <xdr:nvPicPr>
        <xdr:cNvPr id="212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7420" y="2126742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810260</xdr:colOff>
      <xdr:row>89</xdr:row>
      <xdr:rowOff>0</xdr:rowOff>
    </xdr:from>
    <xdr:to>
      <xdr:col>2</xdr:col>
      <xdr:colOff>962660</xdr:colOff>
      <xdr:row>89</xdr:row>
      <xdr:rowOff>9525</xdr:rowOff>
    </xdr:to>
    <xdr:pic>
      <xdr:nvPicPr>
        <xdr:cNvPr id="213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7420" y="2126742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810260</xdr:colOff>
      <xdr:row>89</xdr:row>
      <xdr:rowOff>0</xdr:rowOff>
    </xdr:from>
    <xdr:to>
      <xdr:col>2</xdr:col>
      <xdr:colOff>962660</xdr:colOff>
      <xdr:row>89</xdr:row>
      <xdr:rowOff>9525</xdr:rowOff>
    </xdr:to>
    <xdr:pic>
      <xdr:nvPicPr>
        <xdr:cNvPr id="214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7420" y="2126742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810260</xdr:colOff>
      <xdr:row>89</xdr:row>
      <xdr:rowOff>0</xdr:rowOff>
    </xdr:from>
    <xdr:to>
      <xdr:col>2</xdr:col>
      <xdr:colOff>962660</xdr:colOff>
      <xdr:row>89</xdr:row>
      <xdr:rowOff>9525</xdr:rowOff>
    </xdr:to>
    <xdr:pic>
      <xdr:nvPicPr>
        <xdr:cNvPr id="215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7420" y="2126742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810260</xdr:colOff>
      <xdr:row>89</xdr:row>
      <xdr:rowOff>0</xdr:rowOff>
    </xdr:from>
    <xdr:to>
      <xdr:col>2</xdr:col>
      <xdr:colOff>962660</xdr:colOff>
      <xdr:row>89</xdr:row>
      <xdr:rowOff>9525</xdr:rowOff>
    </xdr:to>
    <xdr:pic>
      <xdr:nvPicPr>
        <xdr:cNvPr id="216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7420" y="2126742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810260</xdr:colOff>
      <xdr:row>89</xdr:row>
      <xdr:rowOff>0</xdr:rowOff>
    </xdr:from>
    <xdr:to>
      <xdr:col>2</xdr:col>
      <xdr:colOff>962660</xdr:colOff>
      <xdr:row>89</xdr:row>
      <xdr:rowOff>9525</xdr:rowOff>
    </xdr:to>
    <xdr:pic>
      <xdr:nvPicPr>
        <xdr:cNvPr id="217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7420" y="2126742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810260</xdr:colOff>
      <xdr:row>89</xdr:row>
      <xdr:rowOff>0</xdr:rowOff>
    </xdr:from>
    <xdr:to>
      <xdr:col>2</xdr:col>
      <xdr:colOff>962660</xdr:colOff>
      <xdr:row>89</xdr:row>
      <xdr:rowOff>9525</xdr:rowOff>
    </xdr:to>
    <xdr:pic>
      <xdr:nvPicPr>
        <xdr:cNvPr id="218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7420" y="2126742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810260</xdr:colOff>
      <xdr:row>89</xdr:row>
      <xdr:rowOff>0</xdr:rowOff>
    </xdr:from>
    <xdr:to>
      <xdr:col>2</xdr:col>
      <xdr:colOff>962660</xdr:colOff>
      <xdr:row>89</xdr:row>
      <xdr:rowOff>9525</xdr:rowOff>
    </xdr:to>
    <xdr:pic>
      <xdr:nvPicPr>
        <xdr:cNvPr id="220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7420" y="2126742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810260</xdr:colOff>
      <xdr:row>89</xdr:row>
      <xdr:rowOff>0</xdr:rowOff>
    </xdr:from>
    <xdr:to>
      <xdr:col>2</xdr:col>
      <xdr:colOff>962660</xdr:colOff>
      <xdr:row>89</xdr:row>
      <xdr:rowOff>9525</xdr:rowOff>
    </xdr:to>
    <xdr:pic>
      <xdr:nvPicPr>
        <xdr:cNvPr id="221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7420" y="2126742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810260</xdr:colOff>
      <xdr:row>89</xdr:row>
      <xdr:rowOff>0</xdr:rowOff>
    </xdr:from>
    <xdr:to>
      <xdr:col>2</xdr:col>
      <xdr:colOff>962660</xdr:colOff>
      <xdr:row>89</xdr:row>
      <xdr:rowOff>9525</xdr:rowOff>
    </xdr:to>
    <xdr:pic>
      <xdr:nvPicPr>
        <xdr:cNvPr id="222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7420" y="2126742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810260</xdr:colOff>
      <xdr:row>89</xdr:row>
      <xdr:rowOff>0</xdr:rowOff>
    </xdr:from>
    <xdr:to>
      <xdr:col>2</xdr:col>
      <xdr:colOff>962660</xdr:colOff>
      <xdr:row>89</xdr:row>
      <xdr:rowOff>9525</xdr:rowOff>
    </xdr:to>
    <xdr:pic>
      <xdr:nvPicPr>
        <xdr:cNvPr id="223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7420" y="2126742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810260</xdr:colOff>
      <xdr:row>89</xdr:row>
      <xdr:rowOff>0</xdr:rowOff>
    </xdr:from>
    <xdr:to>
      <xdr:col>2</xdr:col>
      <xdr:colOff>962660</xdr:colOff>
      <xdr:row>89</xdr:row>
      <xdr:rowOff>9525</xdr:rowOff>
    </xdr:to>
    <xdr:pic>
      <xdr:nvPicPr>
        <xdr:cNvPr id="224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7420" y="2126742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810260</xdr:colOff>
      <xdr:row>89</xdr:row>
      <xdr:rowOff>0</xdr:rowOff>
    </xdr:from>
    <xdr:to>
      <xdr:col>2</xdr:col>
      <xdr:colOff>962660</xdr:colOff>
      <xdr:row>89</xdr:row>
      <xdr:rowOff>9525</xdr:rowOff>
    </xdr:to>
    <xdr:pic>
      <xdr:nvPicPr>
        <xdr:cNvPr id="225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7420" y="2126742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810260</xdr:colOff>
      <xdr:row>89</xdr:row>
      <xdr:rowOff>0</xdr:rowOff>
    </xdr:from>
    <xdr:to>
      <xdr:col>2</xdr:col>
      <xdr:colOff>962660</xdr:colOff>
      <xdr:row>89</xdr:row>
      <xdr:rowOff>9525</xdr:rowOff>
    </xdr:to>
    <xdr:pic>
      <xdr:nvPicPr>
        <xdr:cNvPr id="226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7420" y="2126742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852170</xdr:colOff>
      <xdr:row>89</xdr:row>
      <xdr:rowOff>0</xdr:rowOff>
    </xdr:from>
    <xdr:to>
      <xdr:col>2</xdr:col>
      <xdr:colOff>1004570</xdr:colOff>
      <xdr:row>89</xdr:row>
      <xdr:rowOff>9525</xdr:rowOff>
    </xdr:to>
    <xdr:pic>
      <xdr:nvPicPr>
        <xdr:cNvPr id="227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59330" y="2126742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852170</xdr:colOff>
      <xdr:row>89</xdr:row>
      <xdr:rowOff>0</xdr:rowOff>
    </xdr:from>
    <xdr:to>
      <xdr:col>2</xdr:col>
      <xdr:colOff>1004570</xdr:colOff>
      <xdr:row>89</xdr:row>
      <xdr:rowOff>9525</xdr:rowOff>
    </xdr:to>
    <xdr:pic>
      <xdr:nvPicPr>
        <xdr:cNvPr id="228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59330" y="2126742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3460;&#20998;&#31995;&#32479;_2017&#24180;11&#26376;20&#26085;_17&#26102;24&#20998;15&#31186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室分系统"/>
      <sheetName val="枚举值sheet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38"/>
  <sheetViews>
    <sheetView showZeros="0" zoomScale="70" zoomScaleNormal="70" topLeftCell="A14" workbookViewId="0">
      <selection activeCell="C6" sqref="C6"/>
    </sheetView>
  </sheetViews>
  <sheetFormatPr defaultColWidth="9" defaultRowHeight="14"/>
  <cols>
    <col min="1" max="2" width="15.2545454545455" style="5" customWidth="1"/>
    <col min="3" max="3" width="16.3545454545455" style="5" customWidth="1"/>
    <col min="4" max="4" width="11.6545454545455" style="5" customWidth="1"/>
    <col min="5" max="5" width="15.4" style="5" customWidth="1"/>
    <col min="6" max="6" width="15.7181818181818" style="5" customWidth="1"/>
    <col min="7" max="7" width="10.9090909090909" style="5" customWidth="1"/>
    <col min="8" max="8" width="12.6181818181818" style="5" customWidth="1"/>
    <col min="9" max="9" width="13.2545454545455" style="5" customWidth="1"/>
    <col min="10" max="10" width="13.8" style="5" customWidth="1"/>
    <col min="11" max="11" width="12.8363636363636" style="5" customWidth="1"/>
    <col min="12" max="13" width="12.9363636363636" style="5" customWidth="1"/>
    <col min="14" max="14" width="15.8272727272727" style="5" customWidth="1"/>
    <col min="15" max="16384" width="9" style="5"/>
  </cols>
  <sheetData>
    <row r="1" ht="44" customHeight="1" spans="1:14">
      <c r="A1" s="70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</row>
    <row r="2" s="68" customFormat="1" ht="40" customHeight="1" spans="1:14">
      <c r="A2" s="71" t="s">
        <v>1</v>
      </c>
      <c r="B2" s="71" t="s">
        <v>2</v>
      </c>
      <c r="C2" s="71" t="s">
        <v>3</v>
      </c>
      <c r="D2" s="72" t="s">
        <v>4</v>
      </c>
      <c r="E2" s="72" t="s">
        <v>5</v>
      </c>
      <c r="F2" s="72" t="s">
        <v>6</v>
      </c>
      <c r="G2" s="72" t="s">
        <v>7</v>
      </c>
      <c r="H2" s="72" t="s">
        <v>8</v>
      </c>
      <c r="I2" s="72" t="s">
        <v>9</v>
      </c>
      <c r="J2" s="72" t="s">
        <v>10</v>
      </c>
      <c r="K2" s="72" t="s">
        <v>11</v>
      </c>
      <c r="L2" s="72" t="s">
        <v>12</v>
      </c>
      <c r="M2" s="72" t="s">
        <v>13</v>
      </c>
      <c r="N2" s="72" t="s">
        <v>14</v>
      </c>
    </row>
    <row r="3" s="5" customFormat="1" ht="20" customHeight="1" spans="1:14">
      <c r="A3" s="73" t="s">
        <v>15</v>
      </c>
      <c r="B3" s="74" t="s">
        <v>16</v>
      </c>
      <c r="C3" s="73">
        <f>C7+C11+C15+C19+C23+C27+C31+C35</f>
        <v>3</v>
      </c>
      <c r="D3" s="75" t="e">
        <f>C3/$C$6</f>
        <v>#DIV/0!</v>
      </c>
      <c r="E3" s="75">
        <f>(C3-174)/174</f>
        <v>-0.982758620689655</v>
      </c>
      <c r="F3" s="73">
        <f t="shared" ref="F3:N3" si="0">F7+F11+F15+F19+F23+F27+F31+F35</f>
        <v>4</v>
      </c>
      <c r="G3" s="73">
        <f t="shared" si="0"/>
        <v>1</v>
      </c>
      <c r="H3" s="73">
        <f t="shared" si="0"/>
        <v>0</v>
      </c>
      <c r="I3" s="73">
        <f t="shared" si="0"/>
        <v>0</v>
      </c>
      <c r="J3" s="73">
        <f t="shared" si="0"/>
        <v>0</v>
      </c>
      <c r="K3" s="73">
        <f t="shared" si="0"/>
        <v>0</v>
      </c>
      <c r="L3" s="73">
        <f t="shared" si="0"/>
        <v>0</v>
      </c>
      <c r="M3" s="73">
        <f t="shared" si="0"/>
        <v>0</v>
      </c>
      <c r="N3" s="73">
        <f t="shared" si="0"/>
        <v>0</v>
      </c>
    </row>
    <row r="4" ht="20" customHeight="1" spans="1:14">
      <c r="A4" s="73"/>
      <c r="B4" s="74" t="s">
        <v>17</v>
      </c>
      <c r="C4" s="73">
        <f>C8+C12+C16+C20+C24+C28+C32+C36</f>
        <v>0</v>
      </c>
      <c r="D4" s="75" t="e">
        <f>C4/$C$6</f>
        <v>#DIV/0!</v>
      </c>
      <c r="E4" s="75">
        <f>(C4-9)/9</f>
        <v>-1</v>
      </c>
      <c r="F4" s="73">
        <f t="shared" ref="F4:N4" si="1">F8+F12+F16+F20+F24+F28+F32+F36</f>
        <v>0</v>
      </c>
      <c r="G4" s="73">
        <f t="shared" si="1"/>
        <v>0</v>
      </c>
      <c r="H4" s="73">
        <f t="shared" si="1"/>
        <v>0</v>
      </c>
      <c r="I4" s="73">
        <f t="shared" si="1"/>
        <v>0</v>
      </c>
      <c r="J4" s="73">
        <f t="shared" si="1"/>
        <v>0</v>
      </c>
      <c r="K4" s="73">
        <f t="shared" si="1"/>
        <v>0</v>
      </c>
      <c r="L4" s="73">
        <f t="shared" si="1"/>
        <v>0</v>
      </c>
      <c r="M4" s="73">
        <f t="shared" si="1"/>
        <v>0</v>
      </c>
      <c r="N4" s="73">
        <f t="shared" si="1"/>
        <v>0</v>
      </c>
    </row>
    <row r="5" ht="20" customHeight="1" spans="1:14">
      <c r="A5" s="73"/>
      <c r="B5" s="74" t="s">
        <v>18</v>
      </c>
      <c r="C5" s="73">
        <f>C9+C13+C17+C21+C25+C29+C33+C37</f>
        <v>-3</v>
      </c>
      <c r="D5" s="75" t="e">
        <f>C5/$C$6</f>
        <v>#DIV/0!</v>
      </c>
      <c r="E5" s="75">
        <f>(C5-2450)/2450</f>
        <v>-1.00122448979592</v>
      </c>
      <c r="F5" s="73">
        <f t="shared" ref="F5:N5" si="2">F9+F13+F17+F21+F25+F29+F33+F37</f>
        <v>0</v>
      </c>
      <c r="G5" s="73">
        <f t="shared" si="2"/>
        <v>0</v>
      </c>
      <c r="H5" s="73">
        <f t="shared" si="2"/>
        <v>0</v>
      </c>
      <c r="I5" s="73">
        <f t="shared" si="2"/>
        <v>0</v>
      </c>
      <c r="J5" s="73">
        <f t="shared" si="2"/>
        <v>0</v>
      </c>
      <c r="K5" s="73">
        <f t="shared" si="2"/>
        <v>0</v>
      </c>
      <c r="L5" s="73">
        <f t="shared" si="2"/>
        <v>0</v>
      </c>
      <c r="M5" s="73">
        <f t="shared" si="2"/>
        <v>0</v>
      </c>
      <c r="N5" s="73">
        <f t="shared" si="2"/>
        <v>0</v>
      </c>
    </row>
    <row r="6" ht="20" customHeight="1" spans="1:14">
      <c r="A6" s="73"/>
      <c r="B6" s="76" t="s">
        <v>19</v>
      </c>
      <c r="C6" s="77">
        <f>SUM(C3:C5)</f>
        <v>0</v>
      </c>
      <c r="D6" s="78" t="s">
        <v>20</v>
      </c>
      <c r="E6" s="75">
        <f>(C6-2633)/2633</f>
        <v>-1</v>
      </c>
      <c r="F6" s="77">
        <f t="shared" ref="F6:N6" si="3">SUM(F3:F5)</f>
        <v>4</v>
      </c>
      <c r="G6" s="77">
        <f t="shared" si="3"/>
        <v>1</v>
      </c>
      <c r="H6" s="77">
        <f t="shared" si="3"/>
        <v>0</v>
      </c>
      <c r="I6" s="77">
        <f t="shared" si="3"/>
        <v>0</v>
      </c>
      <c r="J6" s="77">
        <f t="shared" si="3"/>
        <v>0</v>
      </c>
      <c r="K6" s="77">
        <f t="shared" si="3"/>
        <v>0</v>
      </c>
      <c r="L6" s="77">
        <f t="shared" si="3"/>
        <v>0</v>
      </c>
      <c r="M6" s="77">
        <f t="shared" si="3"/>
        <v>0</v>
      </c>
      <c r="N6" s="77">
        <f t="shared" si="3"/>
        <v>0</v>
      </c>
    </row>
    <row r="7" s="1" customFormat="1" ht="20" customHeight="1" spans="1:14">
      <c r="A7" s="79" t="s">
        <v>21</v>
      </c>
      <c r="B7" s="79" t="s">
        <v>16</v>
      </c>
      <c r="C7" s="80">
        <f>COUNTIFS(花名册!B:B,$A$7,花名册!J:J,B7)+COUNTIFS(花名册!B:B,$A$7,花名册!J:J,"注册人员")+3</f>
        <v>3</v>
      </c>
      <c r="D7" s="81">
        <f>C7/$C$10</f>
        <v>1</v>
      </c>
      <c r="E7" s="81">
        <f>(C7-57)/57</f>
        <v>-0.947368421052632</v>
      </c>
      <c r="F7" s="80">
        <f>COUNTIFS(花名册!B:B,$A$7,花名册!N:N,"博士",花名册!B:B,$A$7,花名册!J:J,B7)+COUNTIFS(花名册!B:B,$A$7,花名册!N:N,"硕士",花名册!B:B,$A$7,花名册!J:J,B7)+COUNTIFS(花名册!B:B,$A$7,花名册!N:N,"本科",花名册!B:B,$A$7,花名册!J:J,B7)+4</f>
        <v>4</v>
      </c>
      <c r="G7" s="80">
        <f>COUNTIFS(花名册!B:B,$A$7,花名册!N:N,"大专",花名册!J:J,B7)+1</f>
        <v>1</v>
      </c>
      <c r="H7" s="80">
        <f>COUNTIFS(花名册!B:B,$A$7,花名册!J:J,B7,花名册!R:R,"有")+COUNTIFS(花名册!B:B,$A$7,花名册!J:J,"注册人员",花名册!R:R,"有")</f>
        <v>0</v>
      </c>
      <c r="I7" s="80">
        <f>COUNTIFS(花名册!$B:$B,$A$7,花名册!$J:$J,$B7,花名册!S:S,"有")+COUNTIFS(花名册!$B:$B,$A$7,花名册!$J:$J,"注册人员",花名册!S:S,"有")</f>
        <v>0</v>
      </c>
      <c r="J7" s="80" cm="1">
        <f t="array" ref="J7">COUNTIFS(花名册!$B:$B,$A$7,花名册!$J:$J,$B7,花名册!T:T,"有")+COUNTIFS(花名册!$B:$B,$A$7,花名册!$J:$J,“注册人员”,花名册!T:T,"有")</f>
        <v>0</v>
      </c>
      <c r="K7" s="80">
        <f>COUNTIFS(花名册!$B:$B,$A$7,花名册!$J:$J,$B7,花名册!U:U,"有")+COUNTIFS(花名册!$B:$B,$A$7,花名册!$J:$J,"注册人员",花名册!U:U,"有")</f>
        <v>0</v>
      </c>
      <c r="L7" s="80">
        <f>COUNTIFS(花名册!$B:$B,$A$7,花名册!$J:$J,$B7,花名册!V:V,"有")+COUNTIFS(花名册!$B:$B,$A$7,花名册!$J:$J,"注册人员",花名册!V:V,"有")</f>
        <v>0</v>
      </c>
      <c r="M7" s="80">
        <f>COUNTIFS(花名册!$B:$B,$A$7,花名册!$J:$J,$B7,花名册!W:W,"有")+(COUNTIFS(花名册!$B:$B,$A$7,花名册!$J:$J,"注册人员",花名册!W:W,"有"))</f>
        <v>0</v>
      </c>
      <c r="N7" s="80">
        <f>COUNTIFS(花名册!$B:$B,$A$7,花名册!$J:$J,$B7,花名册!X:X,"有")+COUNTIFS(花名册!$B:$B,$A$7,花名册!$J:$J,"注册人员",花名册!X:X,"有")</f>
        <v>0</v>
      </c>
    </row>
    <row r="8" s="1" customFormat="1" ht="20" customHeight="1" spans="1:14">
      <c r="A8" s="79"/>
      <c r="B8" s="79" t="s">
        <v>17</v>
      </c>
      <c r="C8" s="80">
        <f>COUNTIFS(花名册!B:B,$A$7,花名册!J:J,B8)</f>
        <v>0</v>
      </c>
      <c r="D8" s="81">
        <f>C8/$C$10</f>
        <v>0</v>
      </c>
      <c r="E8" s="81"/>
      <c r="F8" s="80">
        <f>COUNTIFS(花名册!B:B,$A$7,花名册!N:N,"博士",花名册!B:B,$A$7,花名册!J:J,B8)+COUNTIFS(花名册!B:B,$A$7,花名册!N:N,"硕士",花名册!B:B,$A$7,花名册!J:J,B8)+COUNTIFS(花名册!B:B,$A$7,花名册!N:N,"本科",花名册!B:B,$A$7,花名册!J:J,B8)</f>
        <v>0</v>
      </c>
      <c r="G8" s="80">
        <f>COUNTIFS(花名册!B:B,$A$7,花名册!N:N,"大专",花名册!J:J,B8)</f>
        <v>0</v>
      </c>
      <c r="H8" s="80">
        <f>COUNTIFS(花名册!B:B,$A$7,花名册!J:J,B8,花名册!R:R,"有")</f>
        <v>0</v>
      </c>
      <c r="I8" s="80">
        <f>COUNTIFS(花名册!$B:$B,$A$7,花名册!$J:$J,$B8,花名册!S:S,"有")</f>
        <v>0</v>
      </c>
      <c r="J8" s="80">
        <f>COUNTIFS(花名册!$B:$B,$A$7,花名册!$J:$J,$B8,花名册!T:T,"有")</f>
        <v>0</v>
      </c>
      <c r="K8" s="80">
        <f>COUNTIFS(花名册!$B:$B,$A$7,花名册!$J:$J,$B8,花名册!U:U,"有")</f>
        <v>0</v>
      </c>
      <c r="L8" s="80">
        <f>COUNTIFS(花名册!$B:$B,$A$7,花名册!$J:$J,$B8,花名册!V:V,"有")</f>
        <v>0</v>
      </c>
      <c r="M8" s="80">
        <f>COUNTIFS(花名册!$B:$B,$A$7,花名册!$J:$J,$B8,花名册!W:W,"有")</f>
        <v>0</v>
      </c>
      <c r="N8" s="80">
        <f>COUNTIFS(花名册!$B:$B,$A$7,花名册!$J:$J,$B8,花名册!X:X,"有")</f>
        <v>0</v>
      </c>
    </row>
    <row r="9" s="1" customFormat="1" ht="20" customHeight="1" spans="1:14">
      <c r="A9" s="79"/>
      <c r="B9" s="79" t="s">
        <v>18</v>
      </c>
      <c r="C9" s="80">
        <f>COUNTIFS(花名册!B:B,$A$7,花名册!J:J,B9)</f>
        <v>0</v>
      </c>
      <c r="D9" s="81">
        <f>C9/$C$10</f>
        <v>0</v>
      </c>
      <c r="E9" s="81">
        <v>0</v>
      </c>
      <c r="F9" s="80">
        <f>COUNTIFS(花名册!B:B,$A$7,花名册!N:N,"博士",花名册!B:B,$A$7,花名册!J:J,B9)+COUNTIFS(花名册!B:B,$A$7,花名册!N:N,"硕士",花名册!B:B,$A$7,花名册!J:J,B9)+COUNTIFS(花名册!B:B,$A$7,花名册!N:N,"本科",花名册!B:B,$A$7,花名册!J:J,B9)</f>
        <v>0</v>
      </c>
      <c r="G9" s="80">
        <f>COUNTIFS(花名册!B:B,$A$7,花名册!N:N,"大专",花名册!J:J,B9)</f>
        <v>0</v>
      </c>
      <c r="H9" s="80">
        <f>COUNTIFS(花名册!B:B,$A$7,花名册!J:J,B9,花名册!R:R,"有")</f>
        <v>0</v>
      </c>
      <c r="I9" s="80">
        <f>COUNTIFS(花名册!$B:$B,$A$7,花名册!$J:$J,$B9,花名册!S:S,"有")</f>
        <v>0</v>
      </c>
      <c r="J9" s="80">
        <f>COUNTIFS(花名册!$B:$B,$A$7,花名册!$J:$J,$B9,花名册!T:T,"有")</f>
        <v>0</v>
      </c>
      <c r="K9" s="80">
        <f>COUNTIFS(花名册!$B:$B,$A$7,花名册!$J:$J,$B9,花名册!U:U,"有")</f>
        <v>0</v>
      </c>
      <c r="L9" s="80">
        <f>COUNTIFS(花名册!$B:$B,$A$7,花名册!$J:$J,$B9,花名册!V:V,"有")</f>
        <v>0</v>
      </c>
      <c r="M9" s="80">
        <f>COUNTIFS(花名册!$B:$B,$A$7,花名册!$J:$J,$B9,花名册!W:W,"有")</f>
        <v>0</v>
      </c>
      <c r="N9" s="80">
        <f>COUNTIFS(花名册!$B:$B,$A$7,花名册!$J:$J,$B9,花名册!X:X,"有")</f>
        <v>0</v>
      </c>
    </row>
    <row r="10" s="1" customFormat="1" ht="20" customHeight="1" spans="1:14">
      <c r="A10" s="79"/>
      <c r="B10" s="82" t="s">
        <v>19</v>
      </c>
      <c r="C10" s="83">
        <f>SUM(C7:C9)</f>
        <v>3</v>
      </c>
      <c r="D10" s="84"/>
      <c r="E10" s="84">
        <f>(C10-57)/57</f>
        <v>-0.947368421052632</v>
      </c>
      <c r="F10" s="83">
        <f t="shared" ref="F10:N10" si="4">SUM(F7:F9)</f>
        <v>4</v>
      </c>
      <c r="G10" s="83">
        <f t="shared" si="4"/>
        <v>1</v>
      </c>
      <c r="H10" s="83">
        <f t="shared" si="4"/>
        <v>0</v>
      </c>
      <c r="I10" s="83">
        <f t="shared" si="4"/>
        <v>0</v>
      </c>
      <c r="J10" s="83">
        <f t="shared" si="4"/>
        <v>0</v>
      </c>
      <c r="K10" s="83">
        <f t="shared" si="4"/>
        <v>0</v>
      </c>
      <c r="L10" s="83">
        <f t="shared" si="4"/>
        <v>0</v>
      </c>
      <c r="M10" s="83">
        <f t="shared" si="4"/>
        <v>0</v>
      </c>
      <c r="N10" s="83">
        <f t="shared" si="4"/>
        <v>0</v>
      </c>
    </row>
    <row r="11" customFormat="1" ht="20" customHeight="1" spans="1:14">
      <c r="A11" s="79" t="s">
        <v>22</v>
      </c>
      <c r="B11" s="79" t="s">
        <v>16</v>
      </c>
      <c r="C11" s="80">
        <f>COUNTIFS(花名册!B:B,$A$11,花名册!J:J,B11)</f>
        <v>0</v>
      </c>
      <c r="D11" s="81" t="e">
        <f>C11/$C$14</f>
        <v>#DIV/0!</v>
      </c>
      <c r="E11" s="81">
        <f>(C11-103)/103</f>
        <v>-1</v>
      </c>
      <c r="F11" s="80">
        <f>COUNTIFS(花名册!B:B,$A$11,花名册!N:N,"博士",花名册!B:B,$A$11,花名册!J:J,B11)+COUNTIFS(花名册!B:B,$A$11,花名册!N:N,"硕士",花名册!B:B,$A$11,花名册!J:J,B11)+COUNTIFS(花名册!B:B,$A$11,花名册!N:N,"本科",花名册!B:B,$A$11,花名册!J:J,B11)+COUNTIFS(花名册!B:B,$A$11,花名册!N:N,"博士",花名册!B:B,$A$11,花名册!J:J,"后台人员")+COUNTIFS(花名册!B:B,$A$11,花名册!N:N,"硕士",花名册!B:B,$A$11,花名册!J:J,"后台人员")+COUNTIFS(花名册!B:B,$A$11,花名册!N:N,"本科",花名册!B:B,$A$11,花名册!J:J,"后台人员")</f>
        <v>0</v>
      </c>
      <c r="G11" s="80">
        <f>COUNTIFS(花名册!B:B,$A$11,花名册!N:N,"大专",花名册!J:J,B11)</f>
        <v>0</v>
      </c>
      <c r="H11" s="80">
        <f>COUNTIFS(花名册!B:B,$A$11,花名册!J:J,B11,花名册!R:R,"有")</f>
        <v>0</v>
      </c>
      <c r="I11" s="80">
        <f>COUNTIFS(花名册!$B:$B,$A$11,花名册!$J:$J,$B11,花名册!S:S,"有")</f>
        <v>0</v>
      </c>
      <c r="J11" s="80">
        <f>COUNTIFS(花名册!$B:$B,$A$11,花名册!$J:$J,$B11,花名册!T:T,"有")</f>
        <v>0</v>
      </c>
      <c r="K11" s="80">
        <f>COUNTIFS(花名册!$B:$B,$A$11,花名册!$J:$J,$B11,花名册!U:U,"有")</f>
        <v>0</v>
      </c>
      <c r="L11" s="80">
        <f>COUNTIFS(花名册!$B:$B,$A$11,花名册!$J:$J,$B11,花名册!V:V,"有")</f>
        <v>0</v>
      </c>
      <c r="M11" s="80">
        <f>COUNTIFS(花名册!$B:$B,$A$11,花名册!$J:$J,$B11,花名册!W:W,"有")</f>
        <v>0</v>
      </c>
      <c r="N11" s="80">
        <f>COUNTIFS(花名册!$B:$B,$A$11,花名册!$J:$J,$B11,花名册!X:X,"有")</f>
        <v>0</v>
      </c>
    </row>
    <row r="12" customFormat="1" ht="20" customHeight="1" spans="1:14">
      <c r="A12" s="79"/>
      <c r="B12" s="79" t="s">
        <v>17</v>
      </c>
      <c r="C12" s="80">
        <f>COUNTIFS(花名册!B:B,$A$11,花名册!J:J,B12)</f>
        <v>0</v>
      </c>
      <c r="D12" s="81" t="e">
        <f>C12/$C$14</f>
        <v>#DIV/0!</v>
      </c>
      <c r="E12" s="81">
        <f>(C12-9)/9</f>
        <v>-1</v>
      </c>
      <c r="F12" s="80">
        <f>COUNTIFS(花名册!B:B,$A$11,花名册!N:N,"博士",花名册!B:B,$A$11,花名册!J:J,B12)+COUNTIFS(花名册!B:B,$A$11,花名册!N:N,"硕士",花名册!B:B,$A$11,花名册!J:J,B12)+COUNTIFS(花名册!B:B,$A$11,花名册!N:N,"本科",花名册!B:B,$A$11,花名册!J:J,B12)</f>
        <v>0</v>
      </c>
      <c r="G12" s="80">
        <f>COUNTIFS(花名册!B:B,$A$11,花名册!N:N,"大专",花名册!J:J,B12)</f>
        <v>0</v>
      </c>
      <c r="H12" s="80">
        <f>COUNTIFS(花名册!B:B,$A$11,花名册!J:J,B12,花名册!R:R,"有")</f>
        <v>0</v>
      </c>
      <c r="I12" s="80">
        <f>COUNTIFS(花名册!$B:$B,$A$11,花名册!$J:$J,$B12,花名册!S:S,"有")</f>
        <v>0</v>
      </c>
      <c r="J12" s="80">
        <f>COUNTIFS(花名册!$B:$B,$A$11,花名册!$J:$J,$B12,花名册!T:T,"有")</f>
        <v>0</v>
      </c>
      <c r="K12" s="80">
        <f>COUNTIFS(花名册!$B:$B,$A$11,花名册!$J:$J,$B12,花名册!U:U,"有")</f>
        <v>0</v>
      </c>
      <c r="L12" s="80">
        <f>COUNTIFS(花名册!$B:$B,$A$11,花名册!$J:$J,$B12,花名册!V:V,"有")</f>
        <v>0</v>
      </c>
      <c r="M12" s="80">
        <f>COUNTIFS(花名册!$B:$B,$A$11,花名册!$J:$J,$B12,花名册!W:W,"有")</f>
        <v>0</v>
      </c>
      <c r="N12" s="80">
        <f>COUNTIFS(花名册!$B:$B,$A$11,花名册!$J:$J,$B12,花名册!X:X,"有")</f>
        <v>0</v>
      </c>
    </row>
    <row r="13" customFormat="1" ht="20" customHeight="1" spans="1:14">
      <c r="A13" s="79"/>
      <c r="B13" s="79" t="s">
        <v>18</v>
      </c>
      <c r="C13" s="80">
        <f>COUNTIFS(花名册!B:B,$A$11,花名册!J:J,B13)+COUNTIFS(花名册!B:B,$A$11,花名册!J:J,"后台人员")</f>
        <v>0</v>
      </c>
      <c r="D13" s="81" t="e">
        <f>C13/$C$14</f>
        <v>#DIV/0!</v>
      </c>
      <c r="E13" s="81">
        <f>(C13-2372)/2372</f>
        <v>-1</v>
      </c>
      <c r="F13" s="80">
        <f>COUNTIFS(花名册!B:B,$A$11,花名册!N:N,"博士",花名册!B:B,$A$11,花名册!J:J,B13)+COUNTIFS(花名册!B:B,$A$11,花名册!N:N,"硕士",花名册!B:B,$A$11,花名册!J:J,B13)+COUNTIFS(花名册!B:B,$A$11,花名册!N:N,"本科",花名册!B:B,$A$11,花名册!J:J,B13)</f>
        <v>0</v>
      </c>
      <c r="G13" s="80">
        <f>COUNTIFS(花名册!B:B,$A$11,花名册!N:N,"大专",花名册!J:J,B13)+COUNTIFS(花名册!B:B,$A$11,花名册!N:N,"大专",花名册!J:J,"后台人员")</f>
        <v>0</v>
      </c>
      <c r="H13" s="80">
        <f>COUNTIFS(花名册!B:B,$A$11,花名册!J:J,B13,花名册!R:R,"有")+COUNTIFS(花名册!B:B,$A$11,花名册!J:J,"后台人员",花名册!R:R,"有")</f>
        <v>0</v>
      </c>
      <c r="I13" s="80">
        <f>COUNTIFS(花名册!$B:$B,$A$11,花名册!$J:$J,$B13,花名册!S:S,"有")+COUNTIFS(花名册!$B:$B,$A$11,花名册!$J:$J,"后台人员",花名册!S:S,"有")</f>
        <v>0</v>
      </c>
      <c r="J13" s="80">
        <f>COUNTIFS(花名册!$B:$B,$A$11,花名册!$J:$J,$B13,花名册!T:T,"有")+COUNTIFS(花名册!$B:$B,$A$11,花名册!$J:$J,"后台人员",花名册!T:T,"有")</f>
        <v>0</v>
      </c>
      <c r="K13" s="80">
        <f>COUNTIFS(花名册!$B:$B,$A$11,花名册!$J:$J,$B13,花名册!U:U,"有")+COUNTIFS(花名册!$B:$B,$A$11,花名册!$J:$J,"后台人员",花名册!U:U,"有")</f>
        <v>0</v>
      </c>
      <c r="L13" s="80">
        <f>COUNTIFS(花名册!$B:$B,$A$11,花名册!$J:$J,$B13,花名册!V:V,"有")+COUNTIFS(花名册!$B:$B,$A$11,花名册!$J:$J,"后台人员",花名册!V:V,"有")</f>
        <v>0</v>
      </c>
      <c r="M13" s="80">
        <f>COUNTIFS(花名册!$B:$B,$A$11,花名册!$J:$J,$B13,花名册!W:W,"有")+COUNTIFS(花名册!$B:$B,$A$11,花名册!$J:$J,"后台人员",花名册!W:W,"有")</f>
        <v>0</v>
      </c>
      <c r="N13" s="80">
        <f>COUNTIFS(花名册!$B:$B,$A$11,花名册!$J:$J,$B13,花名册!X:X,"有")+COUNTIFS(花名册!$B:$B,$A$11,花名册!$J:$J,"后台人员",花名册!X:X,"有")</f>
        <v>0</v>
      </c>
    </row>
    <row r="14" customFormat="1" ht="20" customHeight="1" spans="1:14">
      <c r="A14" s="79"/>
      <c r="B14" s="82" t="s">
        <v>19</v>
      </c>
      <c r="C14" s="83">
        <f>SUM(C11:C13)</f>
        <v>0</v>
      </c>
      <c r="D14" s="84"/>
      <c r="E14" s="84">
        <f>(C14-2484)/2484</f>
        <v>-1</v>
      </c>
      <c r="F14" s="83">
        <f t="shared" ref="F14:N14" si="5">SUM(F11:F13)</f>
        <v>0</v>
      </c>
      <c r="G14" s="83">
        <f t="shared" si="5"/>
        <v>0</v>
      </c>
      <c r="H14" s="83">
        <f t="shared" si="5"/>
        <v>0</v>
      </c>
      <c r="I14" s="83">
        <f t="shared" si="5"/>
        <v>0</v>
      </c>
      <c r="J14" s="83">
        <f t="shared" si="5"/>
        <v>0</v>
      </c>
      <c r="K14" s="83">
        <f t="shared" si="5"/>
        <v>0</v>
      </c>
      <c r="L14" s="83">
        <f t="shared" si="5"/>
        <v>0</v>
      </c>
      <c r="M14" s="83">
        <f t="shared" si="5"/>
        <v>0</v>
      </c>
      <c r="N14" s="83">
        <f t="shared" si="5"/>
        <v>0</v>
      </c>
    </row>
    <row r="15" s="69" customFormat="1" ht="20" customHeight="1" spans="1:14">
      <c r="A15" s="79" t="s">
        <v>23</v>
      </c>
      <c r="B15" s="79" t="s">
        <v>16</v>
      </c>
      <c r="C15" s="80">
        <f>COUNTIFS(花名册!B:B,$A$15,花名册!J:J,B15)</f>
        <v>0</v>
      </c>
      <c r="D15" s="81">
        <f>C15/$C$18</f>
        <v>0</v>
      </c>
      <c r="E15" s="81">
        <f>(C15-5)/5</f>
        <v>-1</v>
      </c>
      <c r="F15" s="80">
        <f>COUNTIFS(花名册!B:B,$A$15,花名册!N:N,"博士",花名册!B:B,$A$15,花名册!J:J,B15)+COUNTIFS(花名册!B:B,$A$15,花名册!N:N,"硕士",花名册!B:B,$A$15,花名册!J:J,B15)+COUNTIFS(花名册!B:B,$A$15,花名册!N:N,"本科",花名册!B:B,$A$15,花名册!J:J,B15)</f>
        <v>0</v>
      </c>
      <c r="G15" s="80">
        <f>COUNTIFS(花名册!B:B,$A$15,花名册!N:N,"大专",花名册!J:J,B15)</f>
        <v>0</v>
      </c>
      <c r="H15" s="80">
        <f>COUNTIFS(花名册!B:B,$A$15,花名册!J:J,B15,花名册!R:R,"有")</f>
        <v>0</v>
      </c>
      <c r="I15" s="80">
        <f>COUNTIFS(花名册!$B:$B,$A$15,花名册!$J:$J,$B15,花名册!S:S,"有")</f>
        <v>0</v>
      </c>
      <c r="J15" s="80">
        <f>COUNTIFS(花名册!$B:$B,$A$15,花名册!$J:$J,$B15,花名册!T:T,"有")</f>
        <v>0</v>
      </c>
      <c r="K15" s="80">
        <f>COUNTIFS(花名册!$B:$B,$A$15,花名册!$J:$J,$B15,花名册!U:U,"有")</f>
        <v>0</v>
      </c>
      <c r="L15" s="80">
        <f>COUNTIFS(花名册!$B:$B,$A$15,花名册!$J:$J,$B15,花名册!V:V,"有")</f>
        <v>0</v>
      </c>
      <c r="M15" s="80">
        <f>COUNTIFS(花名册!$B:$B,$A$15,花名册!$J:$J,$B15,花名册!W:W,"有")</f>
        <v>0</v>
      </c>
      <c r="N15" s="80">
        <f>COUNTIFS(花名册!$B:$B,$A$15,花名册!$J:$J,$B15,花名册!X:X,"有")</f>
        <v>0</v>
      </c>
    </row>
    <row r="16" s="69" customFormat="1" ht="20" customHeight="1" spans="1:14">
      <c r="A16" s="79"/>
      <c r="B16" s="79" t="s">
        <v>17</v>
      </c>
      <c r="C16" s="80">
        <f>COUNTIFS(花名册!B:B,$A$15,花名册!J:J,B16)</f>
        <v>0</v>
      </c>
      <c r="D16" s="81">
        <f>C16/$C$18</f>
        <v>0</v>
      </c>
      <c r="E16" s="85"/>
      <c r="F16" s="80">
        <f>COUNTIFS(花名册!B:B,$A$15,花名册!N:N,"博士",花名册!B:B,$A$15,花名册!J:J,B16)+COUNTIFS(花名册!B:B,$A$15,花名册!N:N,"硕士",花名册!B:B,$A$15,花名册!J:J,B16)+COUNTIFS(花名册!B:B,$A$15,花名册!N:N,"本科",花名册!B:B,$A$15,花名册!J:J,B16)</f>
        <v>0</v>
      </c>
      <c r="G16" s="80">
        <f>COUNTIFS(花名册!B:B,$A$15,花名册!N:N,"大专",花名册!J:J,B16)</f>
        <v>0</v>
      </c>
      <c r="H16" s="80">
        <f>COUNTIFS(花名册!B:B,$A$15,花名册!J:J,B16,花名册!R:R,"有")</f>
        <v>0</v>
      </c>
      <c r="I16" s="80">
        <f>COUNTIFS(花名册!$B:$B,$A$15,花名册!$J:$J,$B16,花名册!S:S,"有")</f>
        <v>0</v>
      </c>
      <c r="J16" s="80">
        <f>COUNTIFS(花名册!$B:$B,$A$15,花名册!$J:$J,$B16,花名册!T:T,"有")</f>
        <v>0</v>
      </c>
      <c r="K16" s="80">
        <f>COUNTIFS(花名册!$B:$B,$A$15,花名册!$J:$J,$B16,花名册!U:U,"有")</f>
        <v>0</v>
      </c>
      <c r="L16" s="80">
        <f>COUNTIFS(花名册!$B:$B,$A$15,花名册!$J:$J,$B16,花名册!V:V,"有")</f>
        <v>0</v>
      </c>
      <c r="M16" s="80">
        <f>COUNTIFS(花名册!$B:$B,$A$15,花名册!$J:$J,$B16,花名册!W:W,"有")</f>
        <v>0</v>
      </c>
      <c r="N16" s="80">
        <f>COUNTIFS(花名册!$B:$B,$A$15,花名册!$J:$J,$B16,花名册!X:X,"有")</f>
        <v>0</v>
      </c>
    </row>
    <row r="17" s="69" customFormat="1" ht="20" customHeight="1" spans="1:14">
      <c r="A17" s="79"/>
      <c r="B17" s="79" t="s">
        <v>18</v>
      </c>
      <c r="C17" s="80">
        <f>COUNTIFS(花名册!B:B,$A$15,花名册!J:J,B17)-3</f>
        <v>-3</v>
      </c>
      <c r="D17" s="81">
        <f>C17/$C$18</f>
        <v>1</v>
      </c>
      <c r="E17" s="81">
        <f>(C17-78)/78</f>
        <v>-1.03846153846154</v>
      </c>
      <c r="F17" s="80">
        <f>COUNTIFS(花名册!B:B,$A$15,花名册!N:N,"博士",花名册!B:B,$A$15,花名册!J:J,B17)+COUNTIFS(花名册!B:B,$A$15,花名册!N:N,"硕士",花名册!B:B,$A$15,花名册!J:J,B17)+COUNTIFS(花名册!B:B,$A$15,花名册!N:N,"本科",花名册!B:B,$A$15,花名册!J:J,B17)</f>
        <v>0</v>
      </c>
      <c r="G17" s="80">
        <f>COUNTIFS(花名册!B:B,$A$15,花名册!N:N,"大专",花名册!J:J,B17)</f>
        <v>0</v>
      </c>
      <c r="H17" s="80">
        <f>COUNTIFS(花名册!B:B,$A$15,花名册!J:J,B17,花名册!R:R,"有")+COUNTIFS(花名册!B:B,$A$15,花名册!J:J,"后台人员",花名册!R:R,"有")</f>
        <v>0</v>
      </c>
      <c r="I17" s="80">
        <f>COUNTIFS(花名册!$B:$B,$A$15,花名册!$J:$J,$B17,花名册!S:S,"有")</f>
        <v>0</v>
      </c>
      <c r="J17" s="80">
        <f>COUNTIFS(花名册!$B:$B,$A$15,花名册!$J:$J,$B17,花名册!T:T,"有")</f>
        <v>0</v>
      </c>
      <c r="K17" s="80">
        <f>COUNTIFS(花名册!$B:$B,$A$15,花名册!$J:$J,$B17,花名册!U:U,"有")</f>
        <v>0</v>
      </c>
      <c r="L17" s="80">
        <f>COUNTIFS(花名册!$B:$B,$A$15,花名册!$J:$J,$B17,花名册!V:V,"有")</f>
        <v>0</v>
      </c>
      <c r="M17" s="80">
        <f>COUNTIFS(花名册!$B:$B,$A$15,花名册!$J:$J,$B17,花名册!W:W,"有")</f>
        <v>0</v>
      </c>
      <c r="N17" s="80">
        <f>COUNTIFS(花名册!$B:$B,$A$15,花名册!$J:$J,$B17,花名册!X:X,"有")</f>
        <v>0</v>
      </c>
    </row>
    <row r="18" s="69" customFormat="1" ht="20" customHeight="1" spans="1:14">
      <c r="A18" s="79"/>
      <c r="B18" s="82" t="s">
        <v>19</v>
      </c>
      <c r="C18" s="83">
        <f>SUM(C15:C17)</f>
        <v>-3</v>
      </c>
      <c r="D18" s="84"/>
      <c r="E18" s="84">
        <f>(C18-83)/83</f>
        <v>-1.03614457831325</v>
      </c>
      <c r="F18" s="83">
        <f t="shared" ref="F18:N18" si="6">SUM(F15:F17)</f>
        <v>0</v>
      </c>
      <c r="G18" s="83">
        <f t="shared" si="6"/>
        <v>0</v>
      </c>
      <c r="H18" s="83">
        <f t="shared" si="6"/>
        <v>0</v>
      </c>
      <c r="I18" s="83">
        <f t="shared" si="6"/>
        <v>0</v>
      </c>
      <c r="J18" s="83">
        <f t="shared" si="6"/>
        <v>0</v>
      </c>
      <c r="K18" s="83">
        <f t="shared" si="6"/>
        <v>0</v>
      </c>
      <c r="L18" s="83">
        <f t="shared" si="6"/>
        <v>0</v>
      </c>
      <c r="M18" s="83">
        <f t="shared" si="6"/>
        <v>0</v>
      </c>
      <c r="N18" s="83">
        <f t="shared" si="6"/>
        <v>0</v>
      </c>
    </row>
    <row r="19" s="69" customFormat="1" ht="20" customHeight="1" spans="1:14">
      <c r="A19" s="79" t="s">
        <v>24</v>
      </c>
      <c r="B19" s="79" t="s">
        <v>16</v>
      </c>
      <c r="C19" s="80">
        <f>COUNTIFS(花名册!B:B,$A$19,花名册!J:J,B19)</f>
        <v>0</v>
      </c>
      <c r="D19" s="81" t="e">
        <f>C19/$C$22</f>
        <v>#DIV/0!</v>
      </c>
      <c r="E19" s="85"/>
      <c r="F19" s="80">
        <f>COUNTIFS(花名册!B:B,$A$19,花名册!N:N,"博士",花名册!B:B,$A$19,花名册!J:J,B19)+COUNTIFS(花名册!B:B,$A$19,花名册!N:N,"硕士",花名册!B:B,$A$19,花名册!J:J,B19)+COUNTIFS(花名册!B:B,$A$19,花名册!N:N,"本科",花名册!B:B,$A$19,花名册!J:J,B19)</f>
        <v>0</v>
      </c>
      <c r="G19" s="80">
        <f>COUNTIFS(花名册!B:B,$A$19,花名册!N:N,"大专",花名册!J:J,B19)</f>
        <v>0</v>
      </c>
      <c r="H19" s="80">
        <f>COUNTIFS(花名册!B:B,$A$19,花名册!J:J,B19,花名册!R:R,"有")</f>
        <v>0</v>
      </c>
      <c r="I19" s="80">
        <f>COUNTIFS(花名册!$B:$B,$A$19,花名册!$J:$J,$B19,花名册!S:S,"有")</f>
        <v>0</v>
      </c>
      <c r="J19" s="80">
        <f>COUNTIFS(花名册!$B:$B,$A$19,花名册!$J:$J,$B19,花名册!T:T,"有")</f>
        <v>0</v>
      </c>
      <c r="K19" s="80">
        <f>COUNTIFS(花名册!$B:$B,$A$19,花名册!$J:$J,$B19,花名册!U:U,"有")</f>
        <v>0</v>
      </c>
      <c r="L19" s="80">
        <f>COUNTIFS(花名册!$B:$B,$A$19,花名册!$J:$J,$B19,花名册!V:V,"有")</f>
        <v>0</v>
      </c>
      <c r="M19" s="80">
        <f>COUNTIFS(花名册!$B:$B,$A$19,花名册!$J:$J,$B19,花名册!W:W,"有")</f>
        <v>0</v>
      </c>
      <c r="N19" s="80">
        <f>COUNTIFS(花名册!$B:$B,$A$19,花名册!$J:$J,$B19,花名册!X:X,"有")</f>
        <v>0</v>
      </c>
    </row>
    <row r="20" s="69" customFormat="1" ht="20" customHeight="1" spans="1:14">
      <c r="A20" s="79"/>
      <c r="B20" s="79" t="s">
        <v>17</v>
      </c>
      <c r="C20" s="80">
        <f>COUNTIFS(花名册!B:B,$A$19,花名册!J:J,B20)</f>
        <v>0</v>
      </c>
      <c r="D20" s="81" t="e">
        <f>C20/$C$22</f>
        <v>#DIV/0!</v>
      </c>
      <c r="E20" s="85"/>
      <c r="F20" s="80">
        <f>COUNTIFS(花名册!B:B,$A$19,花名册!N:N,"博士",花名册!B:B,$A$19,花名册!J:J,B20)+COUNTIFS(花名册!B:B,$A$19,花名册!N:N,"硕士",花名册!B:B,$A$19,花名册!J:J,B20)+COUNTIFS(花名册!B:B,$A$19,花名册!N:N,"本科",花名册!B:B,$A$19,花名册!J:J,B20)</f>
        <v>0</v>
      </c>
      <c r="G20" s="80">
        <f>COUNTIFS(花名册!B:B,$A$19,花名册!N:N,"大专",花名册!J:J,B20)</f>
        <v>0</v>
      </c>
      <c r="H20" s="80">
        <f>COUNTIFS(花名册!B:B,$A$19,花名册!J:J,B20,花名册!R:R,"有")</f>
        <v>0</v>
      </c>
      <c r="I20" s="80">
        <f>COUNTIFS(花名册!$B:$B,$A$19,花名册!$J:$J,$B20,花名册!S:S,"有")</f>
        <v>0</v>
      </c>
      <c r="J20" s="80">
        <f>COUNTIFS(花名册!$B:$B,$A$19,花名册!$J:$J,$B20,花名册!T:T,"有")</f>
        <v>0</v>
      </c>
      <c r="K20" s="80">
        <f>COUNTIFS(花名册!$B:$B,$A$19,花名册!$J:$J,$B20,花名册!U:U,"有")</f>
        <v>0</v>
      </c>
      <c r="L20" s="80">
        <f>COUNTIFS(花名册!$B:$B,$A$19,花名册!$J:$J,$B20,花名册!V:V,"有")</f>
        <v>0</v>
      </c>
      <c r="M20" s="80">
        <f>COUNTIFS(花名册!$B:$B,$A$19,花名册!$J:$J,$B20,花名册!W:W,"有")</f>
        <v>0</v>
      </c>
      <c r="N20" s="80">
        <f>COUNTIFS(花名册!$B:$B,$A$19,花名册!$J:$J,$B20,花名册!X:X,"有")</f>
        <v>0</v>
      </c>
    </row>
    <row r="21" s="69" customFormat="1" ht="20" customHeight="1" spans="1:14">
      <c r="A21" s="79"/>
      <c r="B21" s="79" t="s">
        <v>18</v>
      </c>
      <c r="C21" s="80">
        <f>COUNTIFS(花名册!B:B,$A$19,花名册!J:J,B21)</f>
        <v>0</v>
      </c>
      <c r="D21" s="81" t="e">
        <f>C21/$C$22</f>
        <v>#DIV/0!</v>
      </c>
      <c r="E21" s="85"/>
      <c r="F21" s="80">
        <f>COUNTIFS(花名册!B:B,$A$19,花名册!N:N,"博士",花名册!B:B,$A$19,花名册!J:J,B21)+COUNTIFS(花名册!B:B,$A$19,花名册!N:N,"硕士",花名册!B:B,$A$19,花名册!J:J,B21)+COUNTIFS(花名册!B:B,$A$19,花名册!N:N,"本科",花名册!B:B,$A$19,花名册!J:J,B21)</f>
        <v>0</v>
      </c>
      <c r="G21" s="80">
        <f>COUNTIFS(花名册!B:B,$A$19,花名册!N:N,"大专",花名册!J:J,B21)</f>
        <v>0</v>
      </c>
      <c r="H21" s="80">
        <f>COUNTIFS(花名册!B:B,$A$19,花名册!J:J,B21,花名册!R:R,"有")+COUNTIFS(花名册!B:B,$A$19,花名册!J:J,"后台人员",花名册!R:R,"有")</f>
        <v>0</v>
      </c>
      <c r="I21" s="80">
        <f>COUNTIFS(花名册!$B:$B,$A$19,花名册!$J:$J,$B21,花名册!S:S,"有")</f>
        <v>0</v>
      </c>
      <c r="J21" s="80">
        <f>COUNTIFS(花名册!$B:$B,$A$19,花名册!$J:$J,$B21,花名册!T:T,"有")</f>
        <v>0</v>
      </c>
      <c r="K21" s="80">
        <f>COUNTIFS(花名册!$B:$B,$A$19,花名册!$J:$J,$B21,花名册!U:U,"有")</f>
        <v>0</v>
      </c>
      <c r="L21" s="80">
        <f>COUNTIFS(花名册!$B:$B,$A$19,花名册!$J:$J,$B21,花名册!V:V,"有")</f>
        <v>0</v>
      </c>
      <c r="M21" s="80">
        <f>COUNTIFS(花名册!$B:$B,$A$19,花名册!$J:$J,$B21,花名册!W:W,"有")</f>
        <v>0</v>
      </c>
      <c r="N21" s="80">
        <f>COUNTIFS(花名册!$B:$B,$A$19,花名册!$J:$J,$B21,花名册!X:X,"有")</f>
        <v>0</v>
      </c>
    </row>
    <row r="22" s="69" customFormat="1" ht="20" customHeight="1" spans="1:14">
      <c r="A22" s="79"/>
      <c r="B22" s="82" t="s">
        <v>19</v>
      </c>
      <c r="C22" s="83">
        <f>SUM(C19:C21)</f>
        <v>0</v>
      </c>
      <c r="D22" s="84"/>
      <c r="E22" s="84">
        <f t="shared" ref="E22:N22" si="7">SUM(E19:E21)</f>
        <v>0</v>
      </c>
      <c r="F22" s="83">
        <f t="shared" si="7"/>
        <v>0</v>
      </c>
      <c r="G22" s="83">
        <f t="shared" si="7"/>
        <v>0</v>
      </c>
      <c r="H22" s="83">
        <f t="shared" si="7"/>
        <v>0</v>
      </c>
      <c r="I22" s="83">
        <f t="shared" si="7"/>
        <v>0</v>
      </c>
      <c r="J22" s="83">
        <f t="shared" si="7"/>
        <v>0</v>
      </c>
      <c r="K22" s="83">
        <f t="shared" si="7"/>
        <v>0</v>
      </c>
      <c r="L22" s="83">
        <f t="shared" si="7"/>
        <v>0</v>
      </c>
      <c r="M22" s="83">
        <f t="shared" si="7"/>
        <v>0</v>
      </c>
      <c r="N22" s="83">
        <f t="shared" si="7"/>
        <v>0</v>
      </c>
    </row>
    <row r="23" s="69" customFormat="1" ht="20" customHeight="1" spans="1:14">
      <c r="A23" s="79" t="s">
        <v>25</v>
      </c>
      <c r="B23" s="79" t="s">
        <v>16</v>
      </c>
      <c r="C23" s="80">
        <f>COUNTIFS(花名册!B:B,$A$23,花名册!J:J,B23)</f>
        <v>0</v>
      </c>
      <c r="D23" s="81" t="e">
        <f>C23/$C$26</f>
        <v>#DIV/0!</v>
      </c>
      <c r="E23" s="81">
        <f>(C23-1)/1</f>
        <v>-1</v>
      </c>
      <c r="F23" s="80">
        <f>COUNTIFS(花名册!B:B,$A$23,花名册!N:N,"博士",花名册!B:B,$A$23,花名册!J:J,B23)+COUNTIFS(花名册!B:B,$A$23,花名册!N:N,"硕士",花名册!B:B,$A$23,花名册!J:J,B23)+COUNTIFS(花名册!B:B,$A$23,花名册!N:N,"本科",花名册!B:B,$A$23,花名册!J:J,B23)</f>
        <v>0</v>
      </c>
      <c r="G23" s="80">
        <f>COUNTIFS(花名册!B:B,$A$23,花名册!N:N,"大专",花名册!J:J,B23)</f>
        <v>0</v>
      </c>
      <c r="H23" s="80">
        <f>COUNTIFS(花名册!B:B,$A$23,花名册!J:J,B23,花名册!R:R,"有")</f>
        <v>0</v>
      </c>
      <c r="I23" s="80">
        <f>COUNTIFS(花名册!$B:$B,$A$23,花名册!$J:$J,$B23,花名册!S:S,"有")</f>
        <v>0</v>
      </c>
      <c r="J23" s="80">
        <f>COUNTIFS(花名册!$B:$B,$A$23,花名册!$J:$J,$B23,花名册!T:T,"有")</f>
        <v>0</v>
      </c>
      <c r="K23" s="80">
        <f>COUNTIFS(花名册!$B:$B,$A$23,花名册!$J:$J,$B23,花名册!U:U,"有")</f>
        <v>0</v>
      </c>
      <c r="L23" s="80">
        <f>COUNTIFS(花名册!$B:$B,$A$23,花名册!$J:$J,$B23,花名册!V:V,"有")</f>
        <v>0</v>
      </c>
      <c r="M23" s="80">
        <f>COUNTIFS(花名册!$B:$B,$A$23,花名册!$J:$J,$B23,花名册!W:W,"有")</f>
        <v>0</v>
      </c>
      <c r="N23" s="80">
        <f>COUNTIFS(花名册!$B:$B,$A$23,花名册!$J:$J,$B23,花名册!X:X,"有")</f>
        <v>0</v>
      </c>
    </row>
    <row r="24" s="69" customFormat="1" ht="20" customHeight="1" spans="1:14">
      <c r="A24" s="79"/>
      <c r="B24" s="79" t="s">
        <v>17</v>
      </c>
      <c r="C24" s="80">
        <f>COUNTIFS(花名册!B:B,$A$23,花名册!J:J,B24)</f>
        <v>0</v>
      </c>
      <c r="D24" s="81" t="e">
        <f>C24/$C$26</f>
        <v>#DIV/0!</v>
      </c>
      <c r="E24" s="85"/>
      <c r="F24" s="80">
        <f>COUNTIFS(花名册!B:B,$A$23,花名册!N:N,"博士",花名册!B:B,$A$23,花名册!J:J,B24)+COUNTIFS(花名册!B:B,$A$23,花名册!N:N,"硕士",花名册!B:B,$A$23,花名册!J:J,B24)+COUNTIFS(花名册!B:B,$A$23,花名册!N:N,"本科",花名册!B:B,$A$23,花名册!J:J,B24)</f>
        <v>0</v>
      </c>
      <c r="G24" s="80">
        <f>COUNTIFS(花名册!B:B,$A$23,花名册!N:N,"大专",花名册!J:J,B24)</f>
        <v>0</v>
      </c>
      <c r="H24" s="80">
        <f>COUNTIFS(花名册!B:B,$A$23,花名册!J:J,B24,花名册!R:R,"有")</f>
        <v>0</v>
      </c>
      <c r="I24" s="80">
        <f>COUNTIFS(花名册!$B:$B,$A$23,花名册!$J:$J,$B24,花名册!S:S,"有")</f>
        <v>0</v>
      </c>
      <c r="J24" s="80">
        <f>COUNTIFS(花名册!$B:$B,$A$23,花名册!$J:$J,$B24,花名册!T:T,"有")</f>
        <v>0</v>
      </c>
      <c r="K24" s="80">
        <f>COUNTIFS(花名册!$B:$B,$A$23,花名册!$J:$J,$B24,花名册!U:U,"有")</f>
        <v>0</v>
      </c>
      <c r="L24" s="80">
        <f>COUNTIFS(花名册!$B:$B,$A$23,花名册!$J:$J,$B24,花名册!V:V,"有")</f>
        <v>0</v>
      </c>
      <c r="M24" s="80">
        <f>COUNTIFS(花名册!$B:$B,$A$23,花名册!$J:$J,$B24,花名册!W:W,"有")</f>
        <v>0</v>
      </c>
      <c r="N24" s="80">
        <f>COUNTIFS(花名册!$B:$B,$A$23,花名册!$J:$J,$B24,花名册!X:X,"有")</f>
        <v>0</v>
      </c>
    </row>
    <row r="25" s="69" customFormat="1" ht="20" customHeight="1" spans="1:14">
      <c r="A25" s="79"/>
      <c r="B25" s="79" t="s">
        <v>18</v>
      </c>
      <c r="C25" s="80">
        <f>COUNTIFS(花名册!B:B,$A$23,花名册!J:J,B25)</f>
        <v>0</v>
      </c>
      <c r="D25" s="81" t="e">
        <f>C25/$C$26</f>
        <v>#DIV/0!</v>
      </c>
      <c r="E25" s="85"/>
      <c r="F25" s="80">
        <f>COUNTIFS(花名册!B:B,$A$23,花名册!N:N,"博士",花名册!B:B,$A$23,花名册!J:J,B25)+COUNTIFS(花名册!B:B,$A$23,花名册!N:N,"硕士",花名册!B:B,$A$23,花名册!J:J,B25)+COUNTIFS(花名册!B:B,$A$23,花名册!N:N,"本科",花名册!B:B,$A$23,花名册!J:J,B25)</f>
        <v>0</v>
      </c>
      <c r="G25" s="80">
        <f>COUNTIFS(花名册!B:B,$A$23,花名册!N:N,"大专",花名册!J:J,B25)</f>
        <v>0</v>
      </c>
      <c r="H25" s="80">
        <f>COUNTIFS(花名册!B:B,$A$23,花名册!J:J,B25,花名册!R:R,"有")+COUNTIFS(花名册!B:B,$A$23,花名册!J:J,"后台人员",花名册!R:R,"有")</f>
        <v>0</v>
      </c>
      <c r="I25" s="80">
        <f>COUNTIFS(花名册!$B:$B,$A$23,花名册!$J:$J,$B25,花名册!S:S,"有")</f>
        <v>0</v>
      </c>
      <c r="J25" s="80">
        <f>COUNTIFS(花名册!$B:$B,$A$23,花名册!$J:$J,$B25,花名册!T:T,"有")</f>
        <v>0</v>
      </c>
      <c r="K25" s="80">
        <f>COUNTIFS(花名册!$B:$B,$A$23,花名册!$J:$J,$B25,花名册!U:U,"有")</f>
        <v>0</v>
      </c>
      <c r="L25" s="80">
        <f>COUNTIFS(花名册!$B:$B,$A$23,花名册!$J:$J,$B25,花名册!V:V,"有")</f>
        <v>0</v>
      </c>
      <c r="M25" s="80">
        <f>COUNTIFS(花名册!$B:$B,$A$23,花名册!$J:$J,$B25,花名册!W:W,"有")</f>
        <v>0</v>
      </c>
      <c r="N25" s="80">
        <f>COUNTIFS(花名册!$B:$B,$A$23,花名册!$J:$J,$B25,花名册!X:X,"有")</f>
        <v>0</v>
      </c>
    </row>
    <row r="26" s="69" customFormat="1" ht="20" customHeight="1" spans="1:14">
      <c r="A26" s="79"/>
      <c r="B26" s="82" t="s">
        <v>19</v>
      </c>
      <c r="C26" s="83">
        <f>SUM(C23:C25)</f>
        <v>0</v>
      </c>
      <c r="D26" s="84"/>
      <c r="E26" s="84">
        <f>(C26-1)/1</f>
        <v>-1</v>
      </c>
      <c r="F26" s="83">
        <f t="shared" ref="F26:N26" si="8">SUM(F23:F25)</f>
        <v>0</v>
      </c>
      <c r="G26" s="83">
        <f t="shared" si="8"/>
        <v>0</v>
      </c>
      <c r="H26" s="83">
        <f t="shared" si="8"/>
        <v>0</v>
      </c>
      <c r="I26" s="83">
        <f t="shared" si="8"/>
        <v>0</v>
      </c>
      <c r="J26" s="83">
        <f t="shared" si="8"/>
        <v>0</v>
      </c>
      <c r="K26" s="83">
        <f t="shared" si="8"/>
        <v>0</v>
      </c>
      <c r="L26" s="83">
        <f t="shared" si="8"/>
        <v>0</v>
      </c>
      <c r="M26" s="83">
        <f t="shared" si="8"/>
        <v>0</v>
      </c>
      <c r="N26" s="83">
        <f t="shared" si="8"/>
        <v>0</v>
      </c>
    </row>
    <row r="27" s="69" customFormat="1" ht="20" customHeight="1" spans="1:14">
      <c r="A27" s="79" t="s">
        <v>26</v>
      </c>
      <c r="B27" s="79" t="s">
        <v>16</v>
      </c>
      <c r="C27" s="80">
        <f>COUNTIFS(花名册!B:B,$A$27,花名册!J:J,B27)</f>
        <v>0</v>
      </c>
      <c r="D27" s="81" t="e">
        <f>C27/$C$30</f>
        <v>#DIV/0!</v>
      </c>
      <c r="E27" s="81">
        <f>(C27-3)/3</f>
        <v>-1</v>
      </c>
      <c r="F27" s="80">
        <f>COUNTIFS(花名册!B:B,$A$27,花名册!N:N,"博士",花名册!B:B,$A$27,花名册!J:J,B27)+COUNTIFS(花名册!B:B,$A$27,花名册!N:N,"硕士",花名册!B:B,$A$27,花名册!J:J,B27)+COUNTIFS(花名册!B:B,$A$27,花名册!N:N,"本科",花名册!B:B,$A$27,花名册!J:J,B27)</f>
        <v>0</v>
      </c>
      <c r="G27" s="80">
        <f>COUNTIFS(花名册!B:B,$A$27,花名册!N:N,"大专",花名册!J:J,B27)</f>
        <v>0</v>
      </c>
      <c r="H27" s="80">
        <f>COUNTIFS(花名册!B:B,$A$27,花名册!J:J,B27,花名册!R:R,"有")</f>
        <v>0</v>
      </c>
      <c r="I27" s="80">
        <f>COUNTIFS(花名册!$B:$B,$A$27,花名册!$J:$J,$B27,花名册!S:S,"有")</f>
        <v>0</v>
      </c>
      <c r="J27" s="80">
        <f>COUNTIFS(花名册!$B:$B,$A$27,花名册!$J:$J,$B27,花名册!T:T,"有")</f>
        <v>0</v>
      </c>
      <c r="K27" s="80">
        <f>COUNTIFS(花名册!$B:$B,$A$27,花名册!$J:$J,$B27,花名册!U:U,"有")</f>
        <v>0</v>
      </c>
      <c r="L27" s="80">
        <f>COUNTIFS(花名册!$B:$B,$A$27,花名册!$J:$J,$B27,花名册!V:V,"有")</f>
        <v>0</v>
      </c>
      <c r="M27" s="80">
        <f>COUNTIFS(花名册!$B:$B,$A$27,花名册!$J:$J,$B27,花名册!W:W,"有")</f>
        <v>0</v>
      </c>
      <c r="N27" s="80">
        <f>COUNTIFS(花名册!$B:$B,$A$27,花名册!$J:$J,$B27,花名册!X:X,"有")</f>
        <v>0</v>
      </c>
    </row>
    <row r="28" s="69" customFormat="1" ht="20" customHeight="1" spans="1:14">
      <c r="A28" s="79"/>
      <c r="B28" s="79" t="s">
        <v>17</v>
      </c>
      <c r="C28" s="80">
        <f>COUNTIFS(花名册!B:B,$A$27,花名册!J:J,B28)</f>
        <v>0</v>
      </c>
      <c r="D28" s="81" t="e">
        <f>C28/$C$30</f>
        <v>#DIV/0!</v>
      </c>
      <c r="E28" s="85"/>
      <c r="F28" s="80">
        <f>COUNTIFS(花名册!B:B,$A$27,花名册!N:N,"博士",花名册!B:B,$A$27,花名册!J:J,B28)+COUNTIFS(花名册!B:B,$A$27,花名册!N:N,"硕士",花名册!B:B,$A$27,花名册!J:J,B28)+COUNTIFS(花名册!B:B,$A$27,花名册!N:N,"本科",花名册!B:B,$A$27,花名册!J:J,B28)</f>
        <v>0</v>
      </c>
      <c r="G28" s="80">
        <f>COUNTIFS(花名册!B:B,$A$27,花名册!N:N,"大专",花名册!J:J,B28)</f>
        <v>0</v>
      </c>
      <c r="H28" s="80">
        <f>COUNTIFS(花名册!B:B,$A$27,花名册!J:J,B28,花名册!R:R,"有")</f>
        <v>0</v>
      </c>
      <c r="I28" s="80">
        <f>COUNTIFS(花名册!$B:$B,$A$27,花名册!$J:$J,$B28,花名册!S:S,"有")</f>
        <v>0</v>
      </c>
      <c r="J28" s="80">
        <f>COUNTIFS(花名册!$B:$B,$A$27,花名册!$J:$J,$B28,花名册!T:T,"有")</f>
        <v>0</v>
      </c>
      <c r="K28" s="80">
        <f>COUNTIFS(花名册!$B:$B,$A$27,花名册!$J:$J,$B28,花名册!U:U,"有")</f>
        <v>0</v>
      </c>
      <c r="L28" s="80">
        <f>COUNTIFS(花名册!$B:$B,$A$27,花名册!$J:$J,$B28,花名册!V:V,"有")</f>
        <v>0</v>
      </c>
      <c r="M28" s="80">
        <f>COUNTIFS(花名册!$B:$B,$A$27,花名册!$J:$J,$B28,花名册!W:W,"有")</f>
        <v>0</v>
      </c>
      <c r="N28" s="80">
        <f>COUNTIFS(花名册!$B:$B,$A$27,花名册!$J:$J,$B28,花名册!X:X,"有")</f>
        <v>0</v>
      </c>
    </row>
    <row r="29" s="69" customFormat="1" ht="20" customHeight="1" spans="1:14">
      <c r="A29" s="79"/>
      <c r="B29" s="79" t="s">
        <v>18</v>
      </c>
      <c r="C29" s="80">
        <f>COUNTIFS(花名册!B:B,$A$27,花名册!J:J,B29)</f>
        <v>0</v>
      </c>
      <c r="D29" s="81" t="e">
        <f>C29/$C$30</f>
        <v>#DIV/0!</v>
      </c>
      <c r="E29" s="85"/>
      <c r="F29" s="80">
        <f>COUNTIFS(花名册!B:B,$A$27,花名册!N:N,"博士",花名册!B:B,$A$27,花名册!J:J,B29)+COUNTIFS(花名册!B:B,$A$27,花名册!N:N,"硕士",花名册!B:B,$A$27,花名册!J:J,B29)+COUNTIFS(花名册!B:B,$A$27,花名册!N:N,"本科",花名册!B:B,$A$27,花名册!J:J,B29)</f>
        <v>0</v>
      </c>
      <c r="G29" s="80">
        <f>COUNTIFS(花名册!B:B,$A$27,花名册!N:N,"大专",花名册!J:J,B29)</f>
        <v>0</v>
      </c>
      <c r="H29" s="80">
        <f>COUNTIFS(花名册!B:B,$A$27,花名册!J:J,B29,花名册!R:R,"有")+COUNTIFS(花名册!B:B,$A$27,花名册!J:J,"后台人员",花名册!R:R,"有")</f>
        <v>0</v>
      </c>
      <c r="I29" s="80">
        <f>COUNTIFS(花名册!$B:$B,$A$27,花名册!$J:$J,$B29,花名册!S:S,"有")</f>
        <v>0</v>
      </c>
      <c r="J29" s="80">
        <f>COUNTIFS(花名册!$B:$B,$A$27,花名册!$J:$J,$B29,花名册!T:T,"有")</f>
        <v>0</v>
      </c>
      <c r="K29" s="80">
        <f>COUNTIFS(花名册!$B:$B,$A$27,花名册!$J:$J,$B29,花名册!U:U,"有")</f>
        <v>0</v>
      </c>
      <c r="L29" s="80">
        <f>COUNTIFS(花名册!$B:$B,$A$27,花名册!$J:$J,$B29,花名册!V:V,"有")</f>
        <v>0</v>
      </c>
      <c r="M29" s="80">
        <f>COUNTIFS(花名册!$B:$B,$A$27,花名册!$J:$J,$B29,花名册!W:W,"有")</f>
        <v>0</v>
      </c>
      <c r="N29" s="80">
        <f>COUNTIFS(花名册!$B:$B,$A$27,花名册!$J:$J,$B29,花名册!X:X,"有")</f>
        <v>0</v>
      </c>
    </row>
    <row r="30" s="69" customFormat="1" ht="20" customHeight="1" spans="1:14">
      <c r="A30" s="79"/>
      <c r="B30" s="82" t="s">
        <v>19</v>
      </c>
      <c r="C30" s="83">
        <f>SUM(C27:C29)</f>
        <v>0</v>
      </c>
      <c r="D30" s="84"/>
      <c r="E30" s="84">
        <f>(C30-3)/3</f>
        <v>-1</v>
      </c>
      <c r="F30" s="83">
        <f t="shared" ref="F30:N30" si="9">SUM(F27:F29)</f>
        <v>0</v>
      </c>
      <c r="G30" s="83">
        <f t="shared" si="9"/>
        <v>0</v>
      </c>
      <c r="H30" s="83">
        <f t="shared" si="9"/>
        <v>0</v>
      </c>
      <c r="I30" s="83">
        <f t="shared" si="9"/>
        <v>0</v>
      </c>
      <c r="J30" s="83">
        <f t="shared" si="9"/>
        <v>0</v>
      </c>
      <c r="K30" s="83">
        <f t="shared" si="9"/>
        <v>0</v>
      </c>
      <c r="L30" s="83">
        <f t="shared" si="9"/>
        <v>0</v>
      </c>
      <c r="M30" s="83">
        <f t="shared" si="9"/>
        <v>0</v>
      </c>
      <c r="N30" s="83">
        <f t="shared" si="9"/>
        <v>0</v>
      </c>
    </row>
    <row r="31" s="69" customFormat="1" ht="20" customHeight="1" spans="1:14">
      <c r="A31" s="79" t="s">
        <v>27</v>
      </c>
      <c r="B31" s="79" t="s">
        <v>16</v>
      </c>
      <c r="C31" s="80">
        <f>COUNTIFS(花名册!B:B,$A$31,花名册!J:J,B31)</f>
        <v>0</v>
      </c>
      <c r="D31" s="81" t="e">
        <f>C31/$C$34</f>
        <v>#DIV/0!</v>
      </c>
      <c r="E31" s="81">
        <f>(C31-4)/4</f>
        <v>-1</v>
      </c>
      <c r="F31" s="80">
        <f>COUNTIFS(花名册!B:B,$A$31,花名册!N:N,"博士",花名册!B:B,$A$31,花名册!J:J,B31)+COUNTIFS(花名册!B:B,$A$31,花名册!N:N,"硕士",花名册!B:B,$A$31,花名册!J:J,B31)+COUNTIFS(花名册!B:B,$A$31,花名册!N:N,"本科",花名册!B:B,$A$31,花名册!J:J,B31)</f>
        <v>0</v>
      </c>
      <c r="G31" s="80">
        <f>COUNTIFS(花名册!B:B,$A$31,花名册!N:N,"大专",花名册!J:J,B31)</f>
        <v>0</v>
      </c>
      <c r="H31" s="80">
        <f>COUNTIFS(花名册!B:B,$A$31,花名册!J:J,B31,花名册!R:R,"有")</f>
        <v>0</v>
      </c>
      <c r="I31" s="80">
        <f>COUNTIFS(花名册!$B:$B,$A$31,花名册!$J:$J,$B31,花名册!S:S,"有")</f>
        <v>0</v>
      </c>
      <c r="J31" s="80">
        <f>COUNTIFS(花名册!$B:$B,$A$31,花名册!$J:$J,$B31,花名册!T:T,"有")</f>
        <v>0</v>
      </c>
      <c r="K31" s="80">
        <f>COUNTIFS(花名册!$B:$B,$A$31,花名册!$J:$J,$B31,花名册!U:U,"有")</f>
        <v>0</v>
      </c>
      <c r="L31" s="80">
        <f>COUNTIFS(花名册!$B:$B,$A$31,花名册!$J:$J,$B31,花名册!V:V,"有")</f>
        <v>0</v>
      </c>
      <c r="M31" s="80">
        <f>COUNTIFS(花名册!$B:$B,$A$31,花名册!$J:$J,$B31,花名册!W:W,"有")</f>
        <v>0</v>
      </c>
      <c r="N31" s="80">
        <f>COUNTIFS(花名册!$B:$B,$A$31,花名册!$J:$J,$B31,花名册!X:X,"有")</f>
        <v>0</v>
      </c>
    </row>
    <row r="32" s="69" customFormat="1" ht="20" customHeight="1" spans="1:14">
      <c r="A32" s="79"/>
      <c r="B32" s="79" t="s">
        <v>17</v>
      </c>
      <c r="C32" s="80">
        <f>COUNTIFS(花名册!B:B,$A$31,花名册!J:J,B32)</f>
        <v>0</v>
      </c>
      <c r="D32" s="81" t="e">
        <f>C32/$C$34</f>
        <v>#DIV/0!</v>
      </c>
      <c r="E32" s="85"/>
      <c r="F32" s="80">
        <f>COUNTIFS(花名册!B:B,$A$31,花名册!N:N,"博士",花名册!B:B,$A$31,花名册!J:J,B32)+COUNTIFS(花名册!B:B,$A$31,花名册!N:N,"硕士",花名册!B:B,$A$31,花名册!J:J,B32)+COUNTIFS(花名册!B:B,$A$31,花名册!N:N,"本科",花名册!B:B,$A$31,花名册!J:J,B32)</f>
        <v>0</v>
      </c>
      <c r="G32" s="80">
        <f>COUNTIFS(花名册!B:B,$A$31,花名册!N:N,"大专",花名册!J:J,B32)</f>
        <v>0</v>
      </c>
      <c r="H32" s="80">
        <f>COUNTIFS(花名册!B:B,$A$31,花名册!J:J,B32,花名册!R:R,"有")</f>
        <v>0</v>
      </c>
      <c r="I32" s="80">
        <f>COUNTIFS(花名册!$B:$B,$A$31,花名册!$J:$J,$B32,花名册!S:S,"有")</f>
        <v>0</v>
      </c>
      <c r="J32" s="80">
        <f>COUNTIFS(花名册!$B:$B,$A$31,花名册!$J:$J,$B32,花名册!T:T,"有")</f>
        <v>0</v>
      </c>
      <c r="K32" s="80">
        <f>COUNTIFS(花名册!$B:$B,$A$31,花名册!$J:$J,$B32,花名册!U:U,"有")</f>
        <v>0</v>
      </c>
      <c r="L32" s="80">
        <f>COUNTIFS(花名册!$B:$B,$A$31,花名册!$J:$J,$B32,花名册!V:V,"有")</f>
        <v>0</v>
      </c>
      <c r="M32" s="80">
        <f>COUNTIFS(花名册!$B:$B,$A$31,花名册!$J:$J,$B32,花名册!W:W,"有")</f>
        <v>0</v>
      </c>
      <c r="N32" s="80">
        <f>COUNTIFS(花名册!$B:$B,$A$31,花名册!$J:$J,$B32,花名册!X:X,"有")</f>
        <v>0</v>
      </c>
    </row>
    <row r="33" s="69" customFormat="1" ht="20" customHeight="1" spans="1:14">
      <c r="A33" s="79"/>
      <c r="B33" s="79" t="s">
        <v>18</v>
      </c>
      <c r="C33" s="80">
        <f>COUNTIFS(花名册!B:B,$A$31,花名册!J:J,B33)</f>
        <v>0</v>
      </c>
      <c r="D33" s="81" t="e">
        <f>C33/$C$34</f>
        <v>#DIV/0!</v>
      </c>
      <c r="E33" s="85"/>
      <c r="F33" s="80">
        <f>COUNTIFS(花名册!B:B,$A$31,花名册!N:N,"博士",花名册!B:B,$A$31,花名册!J:J,B33)+COUNTIFS(花名册!B:B,$A$31,花名册!N:N,"硕士",花名册!B:B,$A$31,花名册!J:J,B33)+COUNTIFS(花名册!B:B,$A$31,花名册!N:N,"本科",花名册!B:B,$A$31,花名册!J:J,B33)</f>
        <v>0</v>
      </c>
      <c r="G33" s="80">
        <f>COUNTIFS(花名册!B:B,$A$31,花名册!N:N,"大专",花名册!J:J,B33)</f>
        <v>0</v>
      </c>
      <c r="H33" s="80">
        <f>COUNTIFS(花名册!B:B,$A$31,花名册!J:J,B33,花名册!R:R,"有")+COUNTIFS(花名册!B:B,$A$31,花名册!J:J,"后台人员",花名册!R:R,"有")</f>
        <v>0</v>
      </c>
      <c r="I33" s="80">
        <f>COUNTIFS(花名册!$B:$B,$A$31,花名册!$J:$J,$B33,花名册!S:S,"有")</f>
        <v>0</v>
      </c>
      <c r="J33" s="80">
        <f>COUNTIFS(花名册!$B:$B,$A$31,花名册!$J:$J,$B33,花名册!T:T,"有")</f>
        <v>0</v>
      </c>
      <c r="K33" s="80">
        <f>COUNTIFS(花名册!$B:$B,$A$31,花名册!$J:$J,$B33,花名册!U:U,"有")</f>
        <v>0</v>
      </c>
      <c r="L33" s="80">
        <f>COUNTIFS(花名册!$B:$B,$A$31,花名册!$J:$J,$B33,花名册!V:V,"有")</f>
        <v>0</v>
      </c>
      <c r="M33" s="80">
        <f>COUNTIFS(花名册!$B:$B,$A$31,花名册!$J:$J,$B33,花名册!W:W,"有")</f>
        <v>0</v>
      </c>
      <c r="N33" s="80">
        <f>COUNTIFS(花名册!$B:$B,$A$31,花名册!$J:$J,$B33,花名册!X:X,"有")</f>
        <v>0</v>
      </c>
    </row>
    <row r="34" s="69" customFormat="1" ht="20" customHeight="1" spans="1:14">
      <c r="A34" s="79"/>
      <c r="B34" s="82" t="s">
        <v>19</v>
      </c>
      <c r="C34" s="83">
        <f>SUM(C31:C33)</f>
        <v>0</v>
      </c>
      <c r="D34" s="84"/>
      <c r="E34" s="84">
        <f>(C34-4)/4</f>
        <v>-1</v>
      </c>
      <c r="F34" s="83">
        <f t="shared" ref="F34:N34" si="10">SUM(F31:F33)</f>
        <v>0</v>
      </c>
      <c r="G34" s="83">
        <f t="shared" si="10"/>
        <v>0</v>
      </c>
      <c r="H34" s="83">
        <f t="shared" si="10"/>
        <v>0</v>
      </c>
      <c r="I34" s="83">
        <f t="shared" si="10"/>
        <v>0</v>
      </c>
      <c r="J34" s="83">
        <f t="shared" si="10"/>
        <v>0</v>
      </c>
      <c r="K34" s="83">
        <f t="shared" si="10"/>
        <v>0</v>
      </c>
      <c r="L34" s="83">
        <f t="shared" si="10"/>
        <v>0</v>
      </c>
      <c r="M34" s="83">
        <f t="shared" si="10"/>
        <v>0</v>
      </c>
      <c r="N34" s="83">
        <f t="shared" si="10"/>
        <v>0</v>
      </c>
    </row>
    <row r="35" s="69" customFormat="1" ht="20" customHeight="1" spans="1:14">
      <c r="A35" s="79" t="s">
        <v>28</v>
      </c>
      <c r="B35" s="79" t="s">
        <v>16</v>
      </c>
      <c r="C35" s="80">
        <f>COUNTIFS(花名册!B:B,$A$35,花名册!J:J,B35)</f>
        <v>0</v>
      </c>
      <c r="D35" s="81" t="e">
        <f>C35/$C$38</f>
        <v>#DIV/0!</v>
      </c>
      <c r="E35" s="81">
        <f>(C35-1)/1</f>
        <v>-1</v>
      </c>
      <c r="F35" s="80">
        <f>COUNTIFS(花名册!B:B,$A$35,花名册!N:N,"博士",花名册!B:B,$A$35,花名册!J:J,B35)+COUNTIFS(花名册!B:B,$A$35,花名册!N:N,"硕士",花名册!B:B,$A$35,花名册!J:J,B35)+COUNTIFS(花名册!B:B,$A$35,花名册!N:N,"本科",花名册!B:B,$A$35,花名册!J:J,B35)</f>
        <v>0</v>
      </c>
      <c r="G35" s="80">
        <f>COUNTIFS(花名册!B:B,$A$35,花名册!N:N,"大专",花名册!J:J,B35)</f>
        <v>0</v>
      </c>
      <c r="H35" s="80">
        <f>COUNTIFS(花名册!B:B,$A$35,花名册!J:J,B35,花名册!R:R,"有")</f>
        <v>0</v>
      </c>
      <c r="I35" s="80">
        <f>COUNTIFS(花名册!$B:$B,$A$35,花名册!$J:$J,$B35,花名册!S:S,"有")</f>
        <v>0</v>
      </c>
      <c r="J35" s="80">
        <f>COUNTIFS(花名册!$B:$B,$A$35,花名册!$J:$J,$B35,花名册!T:T,"有")</f>
        <v>0</v>
      </c>
      <c r="K35" s="80">
        <f>COUNTIFS(花名册!$B:$B,$A$35,花名册!$J:$J,$B35,花名册!U:U,"有")</f>
        <v>0</v>
      </c>
      <c r="L35" s="80">
        <f>COUNTIFS(花名册!$B:$B,$A$35,花名册!$J:$J,$B35,花名册!V:V,"有")</f>
        <v>0</v>
      </c>
      <c r="M35" s="80">
        <f>COUNTIFS(花名册!$B:$B,$A$35,花名册!$J:$J,$B35,花名册!W:W,"有")</f>
        <v>0</v>
      </c>
      <c r="N35" s="80">
        <f>COUNTIFS(花名册!$B:$B,$A$35,花名册!$J:$J,$B35,花名册!X:X,"有")</f>
        <v>0</v>
      </c>
    </row>
    <row r="36" s="69" customFormat="1" ht="20" customHeight="1" spans="1:14">
      <c r="A36" s="79"/>
      <c r="B36" s="79" t="s">
        <v>17</v>
      </c>
      <c r="C36" s="80">
        <f>COUNTIFS(花名册!B:B,$A$35,花名册!J:J,B36)</f>
        <v>0</v>
      </c>
      <c r="D36" s="81" t="e">
        <f>C36/$C$38</f>
        <v>#DIV/0!</v>
      </c>
      <c r="E36" s="85"/>
      <c r="F36" s="80">
        <f>COUNTIFS(花名册!B:B,$A$35,花名册!N:N,"博士",花名册!B:B,$A$35,花名册!J:J,B36)+COUNTIFS(花名册!B:B,$A$35,花名册!N:N,"硕士",花名册!B:B,$A$35,花名册!J:J,B36)+COUNTIFS(花名册!B:B,$A$35,花名册!N:N,"本科",花名册!B:B,$A$35,花名册!J:J,B36)</f>
        <v>0</v>
      </c>
      <c r="G36" s="80">
        <f>COUNTIFS(花名册!B:B,$A$35,花名册!N:N,"大专",花名册!J:J,B36)</f>
        <v>0</v>
      </c>
      <c r="H36" s="80">
        <f>COUNTIFS(花名册!B:B,$A$35,花名册!J:J,B36,花名册!R:R,"有")</f>
        <v>0</v>
      </c>
      <c r="I36" s="80">
        <f>COUNTIFS(花名册!$B:$B,$A$35,花名册!$J:$J,$B36,花名册!S:S,"有")</f>
        <v>0</v>
      </c>
      <c r="J36" s="80">
        <f>COUNTIFS(花名册!$B:$B,$A$35,花名册!$J:$J,$B36,花名册!T:T,"有")</f>
        <v>0</v>
      </c>
      <c r="K36" s="80">
        <f>COUNTIFS(花名册!$B:$B,$A$35,花名册!$J:$J,$B36,花名册!U:U,"有")</f>
        <v>0</v>
      </c>
      <c r="L36" s="80">
        <f>COUNTIFS(花名册!$B:$B,$A$35,花名册!$J:$J,$B36,花名册!V:V,"有")</f>
        <v>0</v>
      </c>
      <c r="M36" s="80">
        <f>COUNTIFS(花名册!$B:$B,$A$35,花名册!$J:$J,$B36,花名册!W:W,"有")</f>
        <v>0</v>
      </c>
      <c r="N36" s="80">
        <f>COUNTIFS(花名册!$B:$B,$A$35,花名册!$J:$J,$B36,花名册!X:X,"有")</f>
        <v>0</v>
      </c>
    </row>
    <row r="37" s="69" customFormat="1" ht="20" customHeight="1" spans="1:14">
      <c r="A37" s="79"/>
      <c r="B37" s="79" t="s">
        <v>18</v>
      </c>
      <c r="C37" s="80">
        <f>COUNTIFS(花名册!B:B,$A$35,花名册!J:J,B37)</f>
        <v>0</v>
      </c>
      <c r="D37" s="81" t="e">
        <f>C37/$C$38</f>
        <v>#DIV/0!</v>
      </c>
      <c r="E37" s="85"/>
      <c r="F37" s="80">
        <f>COUNTIFS(花名册!B:B,$A$35,花名册!N:N,"博士",花名册!B:B,$A$35,花名册!J:J,B37)+COUNTIFS(花名册!B:B,$A$35,花名册!N:N,"硕士",花名册!B:B,$A$35,花名册!J:J,B37)+COUNTIFS(花名册!B:B,$A$35,花名册!N:N,"本科",花名册!B:B,$A$35,花名册!J:J,B37)</f>
        <v>0</v>
      </c>
      <c r="G37" s="80">
        <f>COUNTIFS(花名册!B:B,$A$35,花名册!N:N,"大专",花名册!J:J,B37)</f>
        <v>0</v>
      </c>
      <c r="H37" s="80">
        <f>COUNTIFS(花名册!B:B,$A$35,花名册!J:J,B37,花名册!R:R,"有")+COUNTIFS(花名册!B:B,$A$35,花名册!J:J,"后台人员",花名册!R:R,"有")</f>
        <v>0</v>
      </c>
      <c r="I37" s="80">
        <f>COUNTIFS(花名册!$B:$B,$A$35,花名册!$J:$J,$B37,花名册!S:S,"有")</f>
        <v>0</v>
      </c>
      <c r="J37" s="80">
        <f>COUNTIFS(花名册!$B:$B,$A$35,花名册!$J:$J,$B37,花名册!T:T,"有")</f>
        <v>0</v>
      </c>
      <c r="K37" s="80">
        <f>COUNTIFS(花名册!$B:$B,$A$35,花名册!$J:$J,$B37,花名册!U:U,"有")</f>
        <v>0</v>
      </c>
      <c r="L37" s="80">
        <f>COUNTIFS(花名册!$B:$B,$A$35,花名册!$J:$J,$B37,花名册!V:V,"有")</f>
        <v>0</v>
      </c>
      <c r="M37" s="80">
        <f>COUNTIFS(花名册!$B:$B,$A$35,花名册!$J:$J,$B37,花名册!W:W,"有")</f>
        <v>0</v>
      </c>
      <c r="N37" s="80">
        <f>COUNTIFS(花名册!$B:$B,$A$35,花名册!$J:$J,$B37,花名册!X:X,"有")</f>
        <v>0</v>
      </c>
    </row>
    <row r="38" s="69" customFormat="1" ht="20" customHeight="1" spans="1:14">
      <c r="A38" s="79"/>
      <c r="B38" s="82" t="s">
        <v>19</v>
      </c>
      <c r="C38" s="83">
        <f>SUM(C35:C37)</f>
        <v>0</v>
      </c>
      <c r="D38" s="84"/>
      <c r="E38" s="84">
        <f>(C38-1)/1</f>
        <v>-1</v>
      </c>
      <c r="F38" s="83">
        <f t="shared" ref="F38:N38" si="11">SUM(F35:F37)</f>
        <v>0</v>
      </c>
      <c r="G38" s="83">
        <f t="shared" si="11"/>
        <v>0</v>
      </c>
      <c r="H38" s="83">
        <f t="shared" si="11"/>
        <v>0</v>
      </c>
      <c r="I38" s="83">
        <f t="shared" si="11"/>
        <v>0</v>
      </c>
      <c r="J38" s="83">
        <f t="shared" si="11"/>
        <v>0</v>
      </c>
      <c r="K38" s="83">
        <f t="shared" si="11"/>
        <v>0</v>
      </c>
      <c r="L38" s="83">
        <f t="shared" si="11"/>
        <v>0</v>
      </c>
      <c r="M38" s="83">
        <f t="shared" si="11"/>
        <v>0</v>
      </c>
      <c r="N38" s="83">
        <f t="shared" si="11"/>
        <v>0</v>
      </c>
    </row>
  </sheetData>
  <mergeCells count="10">
    <mergeCell ref="A1:N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</mergeCells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J59"/>
  <sheetViews>
    <sheetView tabSelected="1" zoomScale="70" zoomScaleNormal="70" workbookViewId="0">
      <selection activeCell="Q5" sqref="Q5"/>
    </sheetView>
  </sheetViews>
  <sheetFormatPr defaultColWidth="8.73636363636364" defaultRowHeight="17.5"/>
  <cols>
    <col min="1" max="1" width="15.2545454545455" style="29" customWidth="1"/>
    <col min="2" max="2" width="15.5272727272727" style="29" customWidth="1"/>
    <col min="3" max="3" width="19.5" style="29" customWidth="1"/>
    <col min="4" max="4" width="14.7090909090909" style="32" customWidth="1"/>
    <col min="5" max="5" width="15.2272727272727" style="33" customWidth="1"/>
    <col min="6" max="7" width="15.7" style="33" customWidth="1"/>
    <col min="8" max="8" width="19.8272727272727" style="33" customWidth="1"/>
    <col min="9" max="9" width="21.9818181818182" style="33" customWidth="1"/>
    <col min="10" max="10" width="15.0363636363636" style="33" customWidth="1"/>
    <col min="11" max="16384" width="8.73636363636364" style="29"/>
  </cols>
  <sheetData>
    <row r="1" s="29" customFormat="1" ht="55" customHeight="1" spans="1:10">
      <c r="A1" s="34" t="s">
        <v>29</v>
      </c>
      <c r="B1" s="34"/>
      <c r="C1" s="34"/>
      <c r="D1" s="35"/>
      <c r="E1" s="36"/>
      <c r="F1" s="36"/>
      <c r="G1" s="36"/>
      <c r="H1" s="36"/>
      <c r="I1" s="36"/>
      <c r="J1" s="36"/>
    </row>
    <row r="2" s="30" customFormat="1" ht="44" customHeight="1" spans="1:10">
      <c r="A2" s="37" t="s">
        <v>30</v>
      </c>
      <c r="B2" s="37"/>
      <c r="C2" s="37" t="s">
        <v>31</v>
      </c>
      <c r="D2" s="37" t="s">
        <v>3</v>
      </c>
      <c r="E2" s="38" t="s">
        <v>32</v>
      </c>
      <c r="F2" s="38" t="s">
        <v>33</v>
      </c>
      <c r="G2" s="38" t="s">
        <v>34</v>
      </c>
      <c r="H2" s="38" t="s">
        <v>35</v>
      </c>
      <c r="I2" s="39" t="s">
        <v>36</v>
      </c>
      <c r="J2" s="38" t="s">
        <v>37</v>
      </c>
    </row>
    <row r="3" s="30" customFormat="1" ht="22.5" customHeight="1" spans="1:10">
      <c r="A3" s="40" t="s">
        <v>15</v>
      </c>
      <c r="B3" s="41"/>
      <c r="C3" s="42"/>
      <c r="D3" s="43">
        <f>D4+D5+D11+D14+D19+D20+D21+D23+D24+D25+D30+D31+D32+D36+D37+D38+D41+D42+D44+D50+D51+D52+D53+D54+D55+D56+D43+D12+D13</f>
        <v>43</v>
      </c>
      <c r="E3" s="43"/>
      <c r="F3" s="44">
        <f t="shared" ref="F3:F11" si="0">E3/D3</f>
        <v>0</v>
      </c>
      <c r="G3" s="43">
        <f>G4+G5+G11+G14+G19+G20+G21+G23+G24+G25+G30+G31+G32+G36+G37+G38+G41+G42+G44+G50+G51+G52+G53+G54+G55+G56+G43+G12+G13</f>
        <v>0</v>
      </c>
      <c r="H3" s="44">
        <f t="shared" ref="H3:H11" si="1">G3/D3</f>
        <v>0</v>
      </c>
      <c r="I3" s="43">
        <f>I4+I5+I11+I14+I19+I20+I21+I23+I24+I25+I30+I31+I32+I36+I37+I38+I41+I42+I44+I50+I51+I52+I53+I54+I55+I56+I43+I12+I13</f>
        <v>0</v>
      </c>
      <c r="J3" s="44">
        <f>I3/D3</f>
        <v>0</v>
      </c>
    </row>
    <row r="4" s="29" customFormat="1" ht="26" customHeight="1" spans="1:10">
      <c r="A4" s="45" t="s">
        <v>38</v>
      </c>
      <c r="B4" s="46"/>
      <c r="C4" s="47"/>
      <c r="D4" s="48">
        <f>COUNTIFS(花名册!C:C,"运营商事业部")+COUNTIFS(花名册!C:C,"标书室")</f>
        <v>16</v>
      </c>
      <c r="E4" s="38"/>
      <c r="F4" s="38">
        <f t="shared" si="0"/>
        <v>0</v>
      </c>
      <c r="G4" s="38"/>
      <c r="H4" s="38">
        <f t="shared" si="1"/>
        <v>0</v>
      </c>
      <c r="I4" s="38"/>
      <c r="J4" s="38">
        <f>I4/D4</f>
        <v>0</v>
      </c>
    </row>
    <row r="5" s="29" customFormat="1" ht="26" customHeight="1" spans="1:10">
      <c r="A5" s="49" t="s">
        <v>39</v>
      </c>
      <c r="B5" s="50" t="s">
        <v>40</v>
      </c>
      <c r="C5" s="51"/>
      <c r="D5" s="52">
        <f>COUNTIFS(花名册!C:C,B5)</f>
        <v>4</v>
      </c>
      <c r="E5" s="38"/>
      <c r="F5" s="38">
        <f t="shared" si="0"/>
        <v>0</v>
      </c>
      <c r="G5" s="38"/>
      <c r="H5" s="38">
        <f t="shared" si="1"/>
        <v>0</v>
      </c>
      <c r="I5" s="38"/>
      <c r="J5" s="38">
        <f>I5/D5</f>
        <v>0</v>
      </c>
    </row>
    <row r="6" s="29" customFormat="1" ht="22.5" customHeight="1" spans="1:10">
      <c r="A6" s="49"/>
      <c r="B6" s="50" t="s">
        <v>41</v>
      </c>
      <c r="C6" s="53"/>
      <c r="D6" s="52">
        <f>COUNTIFS(花名册!C:C,B6)</f>
        <v>11</v>
      </c>
      <c r="E6" s="54"/>
      <c r="F6" s="38">
        <f t="shared" si="0"/>
        <v>0</v>
      </c>
      <c r="G6" s="54"/>
      <c r="H6" s="38">
        <f t="shared" si="1"/>
        <v>0</v>
      </c>
      <c r="I6" s="54"/>
      <c r="J6" s="38">
        <f>I6/D6</f>
        <v>0</v>
      </c>
    </row>
    <row r="7" s="29" customFormat="1" ht="22.5" customHeight="1" spans="1:10">
      <c r="A7" s="49"/>
      <c r="B7" s="50" t="s">
        <v>42</v>
      </c>
      <c r="C7" s="53"/>
      <c r="D7" s="52">
        <f>COUNTIFS(花名册!C:C,B7)</f>
        <v>0</v>
      </c>
      <c r="E7" s="54"/>
      <c r="F7" s="38" t="e">
        <f t="shared" si="0"/>
        <v>#DIV/0!</v>
      </c>
      <c r="G7" s="54"/>
      <c r="H7" s="38" t="e">
        <f t="shared" si="1"/>
        <v>#DIV/0!</v>
      </c>
      <c r="I7" s="54"/>
      <c r="J7" s="38">
        <f>I7/(D7-1)</f>
        <v>0</v>
      </c>
    </row>
    <row r="8" s="29" customFormat="1" ht="22.5" customHeight="1" spans="1:10">
      <c r="A8" s="49"/>
      <c r="B8" s="50" t="s">
        <v>43</v>
      </c>
      <c r="C8" s="53"/>
      <c r="D8" s="52">
        <f>COUNTIFS(花名册!C:C,B8)</f>
        <v>11</v>
      </c>
      <c r="E8" s="54"/>
      <c r="F8" s="38">
        <f t="shared" si="0"/>
        <v>0</v>
      </c>
      <c r="G8" s="54"/>
      <c r="H8" s="38">
        <f t="shared" si="1"/>
        <v>0</v>
      </c>
      <c r="I8" s="54"/>
      <c r="J8" s="38">
        <f t="shared" ref="J8:J28" si="2">I8/D8</f>
        <v>0</v>
      </c>
    </row>
    <row r="9" s="29" customFormat="1" ht="22.5" customHeight="1" spans="1:10">
      <c r="A9" s="49"/>
      <c r="B9" s="50" t="s">
        <v>44</v>
      </c>
      <c r="C9" s="53"/>
      <c r="D9" s="52">
        <f>COUNTIFS(花名册!C:C,B9)</f>
        <v>0</v>
      </c>
      <c r="E9" s="54"/>
      <c r="F9" s="38" t="e">
        <f t="shared" si="0"/>
        <v>#DIV/0!</v>
      </c>
      <c r="G9" s="54"/>
      <c r="H9" s="38" t="e">
        <f t="shared" si="1"/>
        <v>#DIV/0!</v>
      </c>
      <c r="I9" s="54"/>
      <c r="J9" s="38" t="e">
        <f t="shared" si="2"/>
        <v>#DIV/0!</v>
      </c>
    </row>
    <row r="10" s="29" customFormat="1" ht="22.5" customHeight="1" spans="1:10">
      <c r="A10" s="49"/>
      <c r="B10" s="50" t="s">
        <v>45</v>
      </c>
      <c r="C10" s="53"/>
      <c r="D10" s="52">
        <f>COUNTIFS(花名册!C:C,B10)</f>
        <v>0</v>
      </c>
      <c r="E10" s="54"/>
      <c r="F10" s="38" t="e">
        <f t="shared" si="0"/>
        <v>#DIV/0!</v>
      </c>
      <c r="G10" s="54"/>
      <c r="H10" s="38" t="e">
        <f t="shared" si="1"/>
        <v>#DIV/0!</v>
      </c>
      <c r="I10" s="54"/>
      <c r="J10" s="38" t="e">
        <f t="shared" si="2"/>
        <v>#DIV/0!</v>
      </c>
    </row>
    <row r="11" s="29" customFormat="1" ht="22.5" customHeight="1" spans="1:10">
      <c r="A11" s="49"/>
      <c r="B11" s="55" t="s">
        <v>46</v>
      </c>
      <c r="C11" s="56"/>
      <c r="D11" s="57">
        <f>SUM(D6:D10)</f>
        <v>22</v>
      </c>
      <c r="E11" s="58">
        <f>SUM(E6:E10)</f>
        <v>0</v>
      </c>
      <c r="F11" s="44">
        <f t="shared" si="0"/>
        <v>0</v>
      </c>
      <c r="G11" s="58">
        <f>SUM(G6:G10)</f>
        <v>0</v>
      </c>
      <c r="H11" s="44">
        <f t="shared" si="1"/>
        <v>0</v>
      </c>
      <c r="I11" s="58">
        <f>SUM(I6:I10)</f>
        <v>0</v>
      </c>
      <c r="J11" s="44">
        <f t="shared" si="2"/>
        <v>0</v>
      </c>
    </row>
    <row r="12" s="31" customFormat="1" ht="22.5" customHeight="1" spans="1:10">
      <c r="A12" s="49"/>
      <c r="B12" s="55" t="s">
        <v>47</v>
      </c>
      <c r="C12" s="56"/>
      <c r="D12" s="59">
        <f>COUNTIFS(花名册!C:C,B12)</f>
        <v>0</v>
      </c>
      <c r="E12" s="44"/>
      <c r="F12" s="44"/>
      <c r="G12" s="44"/>
      <c r="H12" s="44"/>
      <c r="I12" s="44"/>
      <c r="J12" s="44" t="e">
        <f t="shared" si="2"/>
        <v>#DIV/0!</v>
      </c>
    </row>
    <row r="13" s="31" customFormat="1" ht="22.5" customHeight="1" spans="1:10">
      <c r="A13" s="49"/>
      <c r="B13" s="55" t="s">
        <v>48</v>
      </c>
      <c r="C13" s="56"/>
      <c r="D13" s="59">
        <f>COUNTIFS(花名册!C:C,B13)</f>
        <v>0</v>
      </c>
      <c r="E13" s="44"/>
      <c r="F13" s="44"/>
      <c r="G13" s="44"/>
      <c r="H13" s="44"/>
      <c r="I13" s="44"/>
      <c r="J13" s="44" t="e">
        <f t="shared" si="2"/>
        <v>#DIV/0!</v>
      </c>
    </row>
    <row r="14" s="29" customFormat="1" ht="22.5" customHeight="1" spans="1:10">
      <c r="A14" s="49"/>
      <c r="B14" s="55" t="s">
        <v>49</v>
      </c>
      <c r="C14" s="56"/>
      <c r="D14" s="59">
        <f>COUNTIFS(花名册!C:C,B14)</f>
        <v>0</v>
      </c>
      <c r="E14" s="44"/>
      <c r="F14" s="44" t="e">
        <f t="shared" ref="F14:F51" si="3">E14/D14</f>
        <v>#DIV/0!</v>
      </c>
      <c r="G14" s="44"/>
      <c r="H14" s="44" t="e">
        <f t="shared" ref="H14:H56" si="4">G14/D14</f>
        <v>#DIV/0!</v>
      </c>
      <c r="I14" s="44"/>
      <c r="J14" s="44" t="e">
        <f t="shared" si="2"/>
        <v>#DIV/0!</v>
      </c>
    </row>
    <row r="15" s="29" customFormat="1" ht="22.5" customHeight="1" spans="1:10">
      <c r="A15" s="60" t="s">
        <v>50</v>
      </c>
      <c r="B15" s="50"/>
      <c r="C15" s="51"/>
      <c r="D15" s="52">
        <f>COUNTIFS(花名册!C:C,B15)</f>
        <v>0</v>
      </c>
      <c r="E15" s="38"/>
      <c r="F15" s="38" t="e">
        <f t="shared" si="3"/>
        <v>#DIV/0!</v>
      </c>
      <c r="G15" s="38"/>
      <c r="H15" s="38" t="e">
        <f t="shared" si="4"/>
        <v>#DIV/0!</v>
      </c>
      <c r="I15" s="38"/>
      <c r="J15" s="38" t="e">
        <f t="shared" si="2"/>
        <v>#DIV/0!</v>
      </c>
    </row>
    <row r="16" s="29" customFormat="1" ht="22.5" customHeight="1" spans="1:10">
      <c r="A16" s="60"/>
      <c r="B16" s="50"/>
      <c r="C16" s="53"/>
      <c r="D16" s="52">
        <f>COUNTIFS(花名册!C:C,B16)</f>
        <v>0</v>
      </c>
      <c r="E16" s="54"/>
      <c r="F16" s="38" t="e">
        <f t="shared" si="3"/>
        <v>#DIV/0!</v>
      </c>
      <c r="G16" s="54"/>
      <c r="H16" s="38" t="e">
        <f t="shared" si="4"/>
        <v>#DIV/0!</v>
      </c>
      <c r="I16" s="54"/>
      <c r="J16" s="38" t="e">
        <f t="shared" si="2"/>
        <v>#DIV/0!</v>
      </c>
    </row>
    <row r="17" s="29" customFormat="1" ht="22.5" customHeight="1" spans="1:10">
      <c r="A17" s="60"/>
      <c r="B17" s="50"/>
      <c r="C17" s="53"/>
      <c r="D17" s="52">
        <f>COUNTIFS(花名册!C:C,B17)</f>
        <v>0</v>
      </c>
      <c r="E17" s="54"/>
      <c r="F17" s="38" t="e">
        <f t="shared" si="3"/>
        <v>#DIV/0!</v>
      </c>
      <c r="G17" s="54"/>
      <c r="H17" s="38" t="e">
        <f t="shared" si="4"/>
        <v>#DIV/0!</v>
      </c>
      <c r="I17" s="54"/>
      <c r="J17" s="38" t="e">
        <f t="shared" si="2"/>
        <v>#DIV/0!</v>
      </c>
    </row>
    <row r="18" s="29" customFormat="1" ht="22.5" customHeight="1" spans="1:10">
      <c r="A18" s="60"/>
      <c r="B18" s="50"/>
      <c r="C18" s="53"/>
      <c r="D18" s="52">
        <f>COUNTIFS(花名册!C:C,B18)</f>
        <v>0</v>
      </c>
      <c r="E18" s="54"/>
      <c r="F18" s="38" t="e">
        <f t="shared" si="3"/>
        <v>#DIV/0!</v>
      </c>
      <c r="G18" s="54"/>
      <c r="H18" s="38" t="e">
        <f t="shared" si="4"/>
        <v>#DIV/0!</v>
      </c>
      <c r="I18" s="54"/>
      <c r="J18" s="38" t="e">
        <f t="shared" si="2"/>
        <v>#DIV/0!</v>
      </c>
    </row>
    <row r="19" s="29" customFormat="1" ht="22.5" customHeight="1" spans="1:10">
      <c r="A19" s="60"/>
      <c r="B19" s="55" t="s">
        <v>46</v>
      </c>
      <c r="C19" s="56"/>
      <c r="D19" s="57">
        <f>SUM(D15:D18)</f>
        <v>0</v>
      </c>
      <c r="E19" s="58">
        <f>SUM(E15:E18)</f>
        <v>0</v>
      </c>
      <c r="F19" s="44" t="e">
        <f t="shared" si="3"/>
        <v>#DIV/0!</v>
      </c>
      <c r="G19" s="57">
        <f>SUM(G15:G18)</f>
        <v>0</v>
      </c>
      <c r="H19" s="44" t="e">
        <f t="shared" si="4"/>
        <v>#DIV/0!</v>
      </c>
      <c r="I19" s="57">
        <f>SUM(I15:I18)</f>
        <v>0</v>
      </c>
      <c r="J19" s="44" t="e">
        <f t="shared" si="2"/>
        <v>#DIV/0!</v>
      </c>
    </row>
    <row r="20" s="29" customFormat="1" ht="22.5" customHeight="1" spans="1:10">
      <c r="A20" s="60"/>
      <c r="B20" s="55" t="s">
        <v>51</v>
      </c>
      <c r="C20" s="56"/>
      <c r="D20" s="59">
        <f>COUNTIFS(花名册!C:C,B20)</f>
        <v>0</v>
      </c>
      <c r="E20" s="44"/>
      <c r="F20" s="44" t="e">
        <f t="shared" si="3"/>
        <v>#DIV/0!</v>
      </c>
      <c r="G20" s="44"/>
      <c r="H20" s="44" t="e">
        <f t="shared" si="4"/>
        <v>#DIV/0!</v>
      </c>
      <c r="I20" s="44"/>
      <c r="J20" s="44" t="e">
        <f t="shared" si="2"/>
        <v>#DIV/0!</v>
      </c>
    </row>
    <row r="21" s="29" customFormat="1" ht="22.5" customHeight="1" spans="1:10">
      <c r="A21" s="60" t="s">
        <v>52</v>
      </c>
      <c r="B21" s="50"/>
      <c r="C21" s="51"/>
      <c r="D21" s="52">
        <f>COUNTIFS(花名册!C:C,B21)</f>
        <v>0</v>
      </c>
      <c r="E21" s="38"/>
      <c r="F21" s="38" t="e">
        <f t="shared" si="3"/>
        <v>#DIV/0!</v>
      </c>
      <c r="G21" s="38"/>
      <c r="H21" s="38" t="e">
        <f t="shared" si="4"/>
        <v>#DIV/0!</v>
      </c>
      <c r="I21" s="38"/>
      <c r="J21" s="38" t="e">
        <f t="shared" si="2"/>
        <v>#DIV/0!</v>
      </c>
    </row>
    <row r="22" s="29" customFormat="1" ht="22.5" customHeight="1" spans="1:10">
      <c r="A22" s="60"/>
      <c r="B22" s="50"/>
      <c r="C22" s="53"/>
      <c r="D22" s="52">
        <f>COUNTIFS(花名册!C:C,B22)</f>
        <v>0</v>
      </c>
      <c r="E22" s="54"/>
      <c r="F22" s="38" t="e">
        <f t="shared" si="3"/>
        <v>#DIV/0!</v>
      </c>
      <c r="G22" s="54"/>
      <c r="H22" s="38" t="e">
        <f t="shared" si="4"/>
        <v>#DIV/0!</v>
      </c>
      <c r="I22" s="54"/>
      <c r="J22" s="38" t="e">
        <f t="shared" si="2"/>
        <v>#DIV/0!</v>
      </c>
    </row>
    <row r="23" s="29" customFormat="1" ht="22.5" customHeight="1" spans="1:10">
      <c r="A23" s="60"/>
      <c r="B23" s="55" t="s">
        <v>46</v>
      </c>
      <c r="C23" s="56"/>
      <c r="D23" s="57">
        <f>D22</f>
        <v>0</v>
      </c>
      <c r="E23" s="58">
        <f>E22</f>
        <v>0</v>
      </c>
      <c r="F23" s="44" t="e">
        <f t="shared" si="3"/>
        <v>#DIV/0!</v>
      </c>
      <c r="G23" s="58">
        <f>G22</f>
        <v>0</v>
      </c>
      <c r="H23" s="44" t="e">
        <f t="shared" si="4"/>
        <v>#DIV/0!</v>
      </c>
      <c r="I23" s="58">
        <f>I22</f>
        <v>0</v>
      </c>
      <c r="J23" s="44" t="e">
        <f t="shared" si="2"/>
        <v>#DIV/0!</v>
      </c>
    </row>
    <row r="24" s="31" customFormat="1" ht="22.5" customHeight="1" spans="1:10">
      <c r="A24" s="49"/>
      <c r="B24" s="61" t="s">
        <v>53</v>
      </c>
      <c r="C24" s="62"/>
      <c r="D24" s="63">
        <f>COUNTIFS(花名册!C:C,B24)</f>
        <v>0</v>
      </c>
      <c r="E24" s="64"/>
      <c r="F24" s="64" t="e">
        <f t="shared" si="3"/>
        <v>#DIV/0!</v>
      </c>
      <c r="G24" s="64"/>
      <c r="H24" s="64" t="e">
        <f t="shared" si="4"/>
        <v>#DIV/0!</v>
      </c>
      <c r="I24" s="64"/>
      <c r="J24" s="64" t="e">
        <f t="shared" si="2"/>
        <v>#DIV/0!</v>
      </c>
    </row>
    <row r="25" s="29" customFormat="1" ht="22.5" customHeight="1" spans="1:10">
      <c r="A25" s="60" t="s">
        <v>54</v>
      </c>
      <c r="B25" s="50"/>
      <c r="C25" s="51"/>
      <c r="D25" s="52">
        <f>COUNTIFS(花名册!C:C,B25)</f>
        <v>0</v>
      </c>
      <c r="E25" s="38"/>
      <c r="F25" s="38" t="e">
        <f t="shared" si="3"/>
        <v>#DIV/0!</v>
      </c>
      <c r="G25" s="38"/>
      <c r="H25" s="38" t="e">
        <f t="shared" si="4"/>
        <v>#DIV/0!</v>
      </c>
      <c r="I25" s="38"/>
      <c r="J25" s="38" t="e">
        <f t="shared" si="2"/>
        <v>#DIV/0!</v>
      </c>
    </row>
    <row r="26" s="29" customFormat="1" ht="22.5" customHeight="1" spans="1:10">
      <c r="A26" s="60"/>
      <c r="B26" s="50"/>
      <c r="C26" s="53"/>
      <c r="D26" s="52">
        <f>COUNTIFS(花名册!C:C,B26)</f>
        <v>0</v>
      </c>
      <c r="E26" s="54"/>
      <c r="F26" s="38" t="e">
        <f t="shared" si="3"/>
        <v>#DIV/0!</v>
      </c>
      <c r="G26" s="54"/>
      <c r="H26" s="38" t="e">
        <f t="shared" si="4"/>
        <v>#DIV/0!</v>
      </c>
      <c r="I26" s="54"/>
      <c r="J26" s="38" t="e">
        <f t="shared" si="2"/>
        <v>#DIV/0!</v>
      </c>
    </row>
    <row r="27" s="29" customFormat="1" ht="22.5" customHeight="1" spans="1:10">
      <c r="A27" s="60"/>
      <c r="B27" s="50"/>
      <c r="C27" s="53"/>
      <c r="D27" s="52">
        <f>COUNTIFS(花名册!C:C,B27)</f>
        <v>0</v>
      </c>
      <c r="E27" s="54"/>
      <c r="F27" s="38" t="e">
        <f t="shared" si="3"/>
        <v>#DIV/0!</v>
      </c>
      <c r="G27" s="54"/>
      <c r="H27" s="38" t="e">
        <f t="shared" si="4"/>
        <v>#DIV/0!</v>
      </c>
      <c r="I27" s="54"/>
      <c r="J27" s="38" t="e">
        <f t="shared" si="2"/>
        <v>#DIV/0!</v>
      </c>
    </row>
    <row r="28" s="29" customFormat="1" ht="22.5" customHeight="1" spans="1:10">
      <c r="A28" s="60"/>
      <c r="B28" s="50"/>
      <c r="C28" s="53"/>
      <c r="D28" s="52">
        <f>COUNTIFS(花名册!C:C,B28)</f>
        <v>0</v>
      </c>
      <c r="E28" s="54"/>
      <c r="F28" s="38" t="e">
        <f t="shared" si="3"/>
        <v>#DIV/0!</v>
      </c>
      <c r="G28" s="54"/>
      <c r="H28" s="38" t="e">
        <f t="shared" si="4"/>
        <v>#DIV/0!</v>
      </c>
      <c r="I28" s="54"/>
      <c r="J28" s="38" t="e">
        <f t="shared" si="2"/>
        <v>#DIV/0!</v>
      </c>
    </row>
    <row r="29" s="29" customFormat="1" ht="22.5" customHeight="1" spans="1:10">
      <c r="A29" s="60"/>
      <c r="B29" s="50"/>
      <c r="C29" s="53"/>
      <c r="D29" s="52">
        <f>COUNTIFS(花名册!C:C,B29)</f>
        <v>0</v>
      </c>
      <c r="E29" s="54"/>
      <c r="F29" s="38" t="e">
        <f t="shared" si="3"/>
        <v>#DIV/0!</v>
      </c>
      <c r="G29" s="54"/>
      <c r="H29" s="38" t="e">
        <f t="shared" si="4"/>
        <v>#DIV/0!</v>
      </c>
      <c r="I29" s="54"/>
      <c r="J29" s="38">
        <f>I29/(D29-1)</f>
        <v>0</v>
      </c>
    </row>
    <row r="30" s="29" customFormat="1" ht="22.5" customHeight="1" spans="1:10">
      <c r="A30" s="60"/>
      <c r="B30" s="55" t="s">
        <v>46</v>
      </c>
      <c r="C30" s="56"/>
      <c r="D30" s="57">
        <f>SUM(D26:D29)</f>
        <v>0</v>
      </c>
      <c r="E30" s="58">
        <f>SUM(E26:E29)</f>
        <v>0</v>
      </c>
      <c r="F30" s="44" t="e">
        <f t="shared" si="3"/>
        <v>#DIV/0!</v>
      </c>
      <c r="G30" s="58">
        <f>SUM(G26:G29)</f>
        <v>0</v>
      </c>
      <c r="H30" s="44" t="e">
        <f t="shared" si="4"/>
        <v>#DIV/0!</v>
      </c>
      <c r="I30" s="58">
        <f>SUM(I26:I29)</f>
        <v>0</v>
      </c>
      <c r="J30" s="44" t="e">
        <f t="shared" ref="J30:J36" si="5">I30/D30</f>
        <v>#DIV/0!</v>
      </c>
    </row>
    <row r="31" s="29" customFormat="1" ht="22.5" customHeight="1" spans="1:10">
      <c r="A31" s="60"/>
      <c r="B31" s="55" t="s">
        <v>55</v>
      </c>
      <c r="C31" s="56"/>
      <c r="D31" s="59">
        <f>COUNTIFS(花名册!C:C,B31)+COUNTIFS(花名册!C:C,"舟山工程")+COUNTIFS(花名册!C:C,"温州工程")+COUNTIFS(花名册!C:C,"衢州工程")+COUNTIFS(花名册!C:C,"台州工程")</f>
        <v>1</v>
      </c>
      <c r="E31" s="44"/>
      <c r="F31" s="44">
        <f t="shared" si="3"/>
        <v>0</v>
      </c>
      <c r="G31" s="44"/>
      <c r="H31" s="44">
        <f t="shared" si="4"/>
        <v>0</v>
      </c>
      <c r="I31" s="44"/>
      <c r="J31" s="44">
        <f t="shared" si="5"/>
        <v>0</v>
      </c>
    </row>
    <row r="32" s="29" customFormat="1" ht="22.5" customHeight="1" spans="1:10">
      <c r="A32" s="60" t="s">
        <v>56</v>
      </c>
      <c r="B32" s="50"/>
      <c r="C32" s="51"/>
      <c r="D32" s="52">
        <f>COUNTIFS(花名册!C:C,B32)</f>
        <v>0</v>
      </c>
      <c r="E32" s="38"/>
      <c r="F32" s="38" t="e">
        <f t="shared" si="3"/>
        <v>#DIV/0!</v>
      </c>
      <c r="G32" s="38"/>
      <c r="H32" s="38" t="e">
        <f t="shared" si="4"/>
        <v>#DIV/0!</v>
      </c>
      <c r="I32" s="38"/>
      <c r="J32" s="38" t="e">
        <f t="shared" si="5"/>
        <v>#DIV/0!</v>
      </c>
    </row>
    <row r="33" s="29" customFormat="1" ht="22.5" customHeight="1" spans="1:10">
      <c r="A33" s="60"/>
      <c r="B33" s="50"/>
      <c r="C33" s="53"/>
      <c r="D33" s="52">
        <f>COUNTIFS(花名册!C:C,B33)</f>
        <v>0</v>
      </c>
      <c r="E33" s="54"/>
      <c r="F33" s="38" t="e">
        <f t="shared" si="3"/>
        <v>#DIV/0!</v>
      </c>
      <c r="G33" s="54"/>
      <c r="H33" s="38" t="e">
        <f t="shared" si="4"/>
        <v>#DIV/0!</v>
      </c>
      <c r="I33" s="54"/>
      <c r="J33" s="38" t="e">
        <f t="shared" si="5"/>
        <v>#DIV/0!</v>
      </c>
    </row>
    <row r="34" s="29" customFormat="1" ht="22.5" customHeight="1" spans="1:10">
      <c r="A34" s="60"/>
      <c r="B34" s="50"/>
      <c r="C34" s="53"/>
      <c r="D34" s="52">
        <f>COUNTIFS(花名册!C:C,B34)</f>
        <v>0</v>
      </c>
      <c r="E34" s="54"/>
      <c r="F34" s="38" t="e">
        <f t="shared" si="3"/>
        <v>#DIV/0!</v>
      </c>
      <c r="G34" s="54"/>
      <c r="H34" s="38" t="e">
        <f t="shared" si="4"/>
        <v>#DIV/0!</v>
      </c>
      <c r="I34" s="54"/>
      <c r="J34" s="38" t="e">
        <f t="shared" si="5"/>
        <v>#DIV/0!</v>
      </c>
    </row>
    <row r="35" s="29" customFormat="1" ht="22.5" customHeight="1" spans="1:10">
      <c r="A35" s="60"/>
      <c r="B35" s="50"/>
      <c r="C35" s="53"/>
      <c r="D35" s="52">
        <f>COUNTIFS(花名册!C:C,B35)</f>
        <v>0</v>
      </c>
      <c r="E35" s="54"/>
      <c r="F35" s="38" t="e">
        <f t="shared" si="3"/>
        <v>#DIV/0!</v>
      </c>
      <c r="G35" s="54"/>
      <c r="H35" s="38" t="e">
        <f t="shared" si="4"/>
        <v>#DIV/0!</v>
      </c>
      <c r="I35" s="54"/>
      <c r="J35" s="38" t="e">
        <f t="shared" si="5"/>
        <v>#DIV/0!</v>
      </c>
    </row>
    <row r="36" s="29" customFormat="1" ht="22.5" customHeight="1" spans="1:10">
      <c r="A36" s="60"/>
      <c r="B36" s="55" t="s">
        <v>46</v>
      </c>
      <c r="C36" s="56"/>
      <c r="D36" s="57">
        <f>SUM(D33:D35)</f>
        <v>0</v>
      </c>
      <c r="E36" s="58">
        <f>SUM(E33:E35)</f>
        <v>0</v>
      </c>
      <c r="F36" s="44" t="e">
        <f t="shared" si="3"/>
        <v>#DIV/0!</v>
      </c>
      <c r="G36" s="58">
        <f>SUM(G33:G35)</f>
        <v>0</v>
      </c>
      <c r="H36" s="44" t="e">
        <f t="shared" si="4"/>
        <v>#DIV/0!</v>
      </c>
      <c r="I36" s="58">
        <f>SUM(I33:I35)</f>
        <v>0</v>
      </c>
      <c r="J36" s="44" t="e">
        <f t="shared" si="5"/>
        <v>#DIV/0!</v>
      </c>
    </row>
    <row r="37" s="29" customFormat="1" ht="22.5" customHeight="1" spans="1:10">
      <c r="A37" s="60"/>
      <c r="B37" s="55" t="s">
        <v>57</v>
      </c>
      <c r="C37" s="56"/>
      <c r="D37" s="59">
        <f>COUNTIFS(花名册!C:C,B37)</f>
        <v>0</v>
      </c>
      <c r="E37" s="44"/>
      <c r="F37" s="44" t="e">
        <f t="shared" si="3"/>
        <v>#DIV/0!</v>
      </c>
      <c r="G37" s="44"/>
      <c r="H37" s="44" t="e">
        <f t="shared" si="4"/>
        <v>#DIV/0!</v>
      </c>
      <c r="I37" s="44"/>
      <c r="J37" s="44">
        <f>I37/(D37-1)</f>
        <v>0</v>
      </c>
    </row>
    <row r="38" s="29" customFormat="1" ht="22.5" customHeight="1" spans="1:10">
      <c r="A38" s="65" t="s">
        <v>58</v>
      </c>
      <c r="B38" s="50"/>
      <c r="C38" s="51"/>
      <c r="D38" s="52">
        <f>COUNTIFS(花名册!C:C,B38)</f>
        <v>0</v>
      </c>
      <c r="E38" s="38"/>
      <c r="F38" s="38" t="e">
        <f t="shared" si="3"/>
        <v>#DIV/0!</v>
      </c>
      <c r="G38" s="38"/>
      <c r="H38" s="38" t="e">
        <f t="shared" si="4"/>
        <v>#DIV/0!</v>
      </c>
      <c r="I38" s="38"/>
      <c r="J38" s="38" t="e">
        <f t="shared" ref="J38:J56" si="6">I38/D38</f>
        <v>#DIV/0!</v>
      </c>
    </row>
    <row r="39" s="29" customFormat="1" ht="22.5" customHeight="1" spans="1:10">
      <c r="A39" s="66"/>
      <c r="B39" s="50"/>
      <c r="C39" s="53"/>
      <c r="D39" s="52">
        <f>COUNTIFS(花名册!C:C,B39)</f>
        <v>0</v>
      </c>
      <c r="E39" s="54"/>
      <c r="F39" s="38" t="e">
        <f t="shared" si="3"/>
        <v>#DIV/0!</v>
      </c>
      <c r="G39" s="54"/>
      <c r="H39" s="38" t="e">
        <f t="shared" si="4"/>
        <v>#DIV/0!</v>
      </c>
      <c r="I39" s="54"/>
      <c r="J39" s="38" t="e">
        <f t="shared" si="6"/>
        <v>#DIV/0!</v>
      </c>
    </row>
    <row r="40" s="29" customFormat="1" ht="22.5" customHeight="1" spans="1:10">
      <c r="A40" s="66"/>
      <c r="B40" s="50"/>
      <c r="C40" s="53"/>
      <c r="D40" s="52">
        <f>COUNTIFS(花名册!C:C,B40)</f>
        <v>0</v>
      </c>
      <c r="E40" s="38"/>
      <c r="F40" s="38" t="e">
        <f t="shared" si="3"/>
        <v>#DIV/0!</v>
      </c>
      <c r="G40" s="38"/>
      <c r="H40" s="38" t="e">
        <f t="shared" si="4"/>
        <v>#DIV/0!</v>
      </c>
      <c r="I40" s="38"/>
      <c r="J40" s="38" t="e">
        <f t="shared" si="6"/>
        <v>#DIV/0!</v>
      </c>
    </row>
    <row r="41" s="29" customFormat="1" ht="22.5" customHeight="1" spans="1:10">
      <c r="A41" s="66"/>
      <c r="B41" s="55" t="s">
        <v>46</v>
      </c>
      <c r="C41" s="56"/>
      <c r="D41" s="57">
        <f>SUM(D39:D40)</f>
        <v>0</v>
      </c>
      <c r="E41" s="58">
        <f>SUM(E39:E40)</f>
        <v>0</v>
      </c>
      <c r="F41" s="44" t="e">
        <f t="shared" si="3"/>
        <v>#DIV/0!</v>
      </c>
      <c r="G41" s="58">
        <f>SUM(G39:G40)</f>
        <v>0</v>
      </c>
      <c r="H41" s="44" t="e">
        <f t="shared" si="4"/>
        <v>#DIV/0!</v>
      </c>
      <c r="I41" s="58">
        <f>SUM(I39:I40)</f>
        <v>0</v>
      </c>
      <c r="J41" s="44" t="e">
        <f t="shared" si="6"/>
        <v>#DIV/0!</v>
      </c>
    </row>
    <row r="42" s="29" customFormat="1" ht="22.5" customHeight="1" spans="1:10">
      <c r="A42" s="66"/>
      <c r="B42" s="55" t="s">
        <v>59</v>
      </c>
      <c r="C42" s="56"/>
      <c r="D42" s="59">
        <f>COUNTIFS(花名册!C:C,B42)</f>
        <v>0</v>
      </c>
      <c r="E42" s="44"/>
      <c r="F42" s="44" t="e">
        <f t="shared" si="3"/>
        <v>#DIV/0!</v>
      </c>
      <c r="G42" s="44"/>
      <c r="H42" s="44" t="e">
        <f t="shared" si="4"/>
        <v>#DIV/0!</v>
      </c>
      <c r="I42" s="44"/>
      <c r="J42" s="44" t="e">
        <f t="shared" si="6"/>
        <v>#DIV/0!</v>
      </c>
    </row>
    <row r="43" s="29" customFormat="1" ht="22.5" customHeight="1" spans="1:10">
      <c r="A43" s="67"/>
      <c r="B43" s="55" t="s">
        <v>60</v>
      </c>
      <c r="C43" s="56"/>
      <c r="D43" s="59">
        <f>COUNTIFS(花名册!C:C,"鄂尔多斯工程")+COUNTIFS(花名册!C:C,"呼伦贝尔工程")</f>
        <v>0</v>
      </c>
      <c r="E43" s="44"/>
      <c r="F43" s="44" t="e">
        <f t="shared" si="3"/>
        <v>#DIV/0!</v>
      </c>
      <c r="G43" s="44"/>
      <c r="H43" s="44" t="e">
        <f t="shared" si="4"/>
        <v>#DIV/0!</v>
      </c>
      <c r="I43" s="44"/>
      <c r="J43" s="44" t="e">
        <f t="shared" si="6"/>
        <v>#DIV/0!</v>
      </c>
    </row>
    <row r="44" s="29" customFormat="1" ht="22.5" customHeight="1" spans="1:10">
      <c r="A44" s="60" t="s">
        <v>61</v>
      </c>
      <c r="B44" s="50"/>
      <c r="C44" s="51"/>
      <c r="D44" s="52">
        <f>COUNTIFS(花名册!C:C,B44)</f>
        <v>0</v>
      </c>
      <c r="E44" s="38"/>
      <c r="F44" s="38" t="e">
        <f t="shared" si="3"/>
        <v>#DIV/0!</v>
      </c>
      <c r="G44" s="38"/>
      <c r="H44" s="38" t="e">
        <f t="shared" si="4"/>
        <v>#DIV/0!</v>
      </c>
      <c r="I44" s="38"/>
      <c r="J44" s="38" t="e">
        <f t="shared" si="6"/>
        <v>#DIV/0!</v>
      </c>
    </row>
    <row r="45" s="29" customFormat="1" ht="22.5" customHeight="1" spans="1:10">
      <c r="A45" s="60"/>
      <c r="B45" s="50"/>
      <c r="C45" s="53"/>
      <c r="D45" s="52">
        <f>COUNTIFS(花名册!C:C,B45)</f>
        <v>0</v>
      </c>
      <c r="E45" s="54"/>
      <c r="F45" s="38" t="e">
        <f t="shared" si="3"/>
        <v>#DIV/0!</v>
      </c>
      <c r="G45" s="54"/>
      <c r="H45" s="38" t="e">
        <f t="shared" si="4"/>
        <v>#DIV/0!</v>
      </c>
      <c r="I45" s="54"/>
      <c r="J45" s="38" t="e">
        <f t="shared" si="6"/>
        <v>#DIV/0!</v>
      </c>
    </row>
    <row r="46" s="29" customFormat="1" ht="22.5" customHeight="1" spans="1:10">
      <c r="A46" s="60"/>
      <c r="B46" s="50"/>
      <c r="C46" s="53"/>
      <c r="D46" s="52">
        <f>COUNTIFS(花名册!C:C,B46)</f>
        <v>0</v>
      </c>
      <c r="E46" s="54"/>
      <c r="F46" s="38" t="e">
        <f t="shared" si="3"/>
        <v>#DIV/0!</v>
      </c>
      <c r="G46" s="54"/>
      <c r="H46" s="38" t="e">
        <f t="shared" si="4"/>
        <v>#DIV/0!</v>
      </c>
      <c r="I46" s="54"/>
      <c r="J46" s="38" t="e">
        <f t="shared" si="6"/>
        <v>#DIV/0!</v>
      </c>
    </row>
    <row r="47" s="29" customFormat="1" ht="22.5" customHeight="1" spans="1:10">
      <c r="A47" s="60"/>
      <c r="B47" s="50"/>
      <c r="C47" s="53"/>
      <c r="D47" s="52">
        <f>COUNTIFS(花名册!C:C,B47)</f>
        <v>0</v>
      </c>
      <c r="E47" s="54"/>
      <c r="F47" s="38" t="e">
        <f t="shared" si="3"/>
        <v>#DIV/0!</v>
      </c>
      <c r="G47" s="54"/>
      <c r="H47" s="38" t="e">
        <f t="shared" si="4"/>
        <v>#DIV/0!</v>
      </c>
      <c r="I47" s="54"/>
      <c r="J47" s="38" t="e">
        <f t="shared" si="6"/>
        <v>#DIV/0!</v>
      </c>
    </row>
    <row r="48" s="29" customFormat="1" ht="22.5" customHeight="1" spans="1:10">
      <c r="A48" s="60"/>
      <c r="B48" s="50"/>
      <c r="C48" s="53"/>
      <c r="D48" s="52">
        <f>COUNTIFS(花名册!C:C,B48)</f>
        <v>0</v>
      </c>
      <c r="E48" s="54"/>
      <c r="F48" s="38" t="e">
        <f t="shared" si="3"/>
        <v>#DIV/0!</v>
      </c>
      <c r="G48" s="54"/>
      <c r="H48" s="38" t="e">
        <f t="shared" si="4"/>
        <v>#DIV/0!</v>
      </c>
      <c r="I48" s="54"/>
      <c r="J48" s="38" t="e">
        <f t="shared" si="6"/>
        <v>#DIV/0!</v>
      </c>
    </row>
    <row r="49" s="29" customFormat="1" ht="22.5" customHeight="1" spans="1:10">
      <c r="A49" s="60"/>
      <c r="B49" s="50"/>
      <c r="C49" s="53"/>
      <c r="D49" s="52">
        <f>COUNTIFS(花名册!C:C,B49)</f>
        <v>0</v>
      </c>
      <c r="E49" s="54"/>
      <c r="F49" s="38" t="e">
        <f t="shared" si="3"/>
        <v>#DIV/0!</v>
      </c>
      <c r="G49" s="54"/>
      <c r="H49" s="38" t="e">
        <f t="shared" si="4"/>
        <v>#DIV/0!</v>
      </c>
      <c r="I49" s="54"/>
      <c r="J49" s="38" t="e">
        <f t="shared" si="6"/>
        <v>#DIV/0!</v>
      </c>
    </row>
    <row r="50" s="29" customFormat="1" ht="22.5" customHeight="1" spans="1:10">
      <c r="A50" s="60"/>
      <c r="B50" s="55" t="s">
        <v>46</v>
      </c>
      <c r="C50" s="56"/>
      <c r="D50" s="57">
        <f>SUM(D45:D49)</f>
        <v>0</v>
      </c>
      <c r="E50" s="58">
        <f>SUM(E45:E49)</f>
        <v>0</v>
      </c>
      <c r="F50" s="44" t="e">
        <f t="shared" si="3"/>
        <v>#DIV/0!</v>
      </c>
      <c r="G50" s="58">
        <f>SUM(G45:G49)</f>
        <v>0</v>
      </c>
      <c r="H50" s="44" t="e">
        <f t="shared" si="4"/>
        <v>#DIV/0!</v>
      </c>
      <c r="I50" s="57">
        <f>SUM(I44:I49)</f>
        <v>0</v>
      </c>
      <c r="J50" s="44" t="e">
        <f t="shared" si="6"/>
        <v>#DIV/0!</v>
      </c>
    </row>
    <row r="51" s="31" customFormat="1" ht="22.5" customHeight="1" spans="1:10">
      <c r="A51" s="49"/>
      <c r="B51" s="61" t="s">
        <v>62</v>
      </c>
      <c r="C51" s="62"/>
      <c r="D51" s="63">
        <f>COUNTIFS(花名册!C:C,B51)</f>
        <v>0</v>
      </c>
      <c r="E51" s="64"/>
      <c r="F51" s="64" t="e">
        <f t="shared" si="3"/>
        <v>#DIV/0!</v>
      </c>
      <c r="G51" s="64"/>
      <c r="H51" s="64" t="e">
        <f t="shared" si="4"/>
        <v>#DIV/0!</v>
      </c>
      <c r="I51" s="64"/>
      <c r="J51" s="64" t="e">
        <f t="shared" si="6"/>
        <v>#DIV/0!</v>
      </c>
    </row>
    <row r="52" s="29" customFormat="1" ht="22.5" customHeight="1" spans="1:10">
      <c r="A52" s="60" t="s">
        <v>63</v>
      </c>
      <c r="B52" s="16"/>
      <c r="C52" s="16"/>
      <c r="D52" s="52">
        <f>COUNTIFS(花名册!C:C,B52)</f>
        <v>0</v>
      </c>
      <c r="E52" s="38"/>
      <c r="F52" s="38">
        <v>0</v>
      </c>
      <c r="G52" s="38"/>
      <c r="H52" s="38" t="e">
        <f t="shared" si="4"/>
        <v>#DIV/0!</v>
      </c>
      <c r="I52" s="38"/>
      <c r="J52" s="38" t="e">
        <f t="shared" si="6"/>
        <v>#DIV/0!</v>
      </c>
    </row>
    <row r="53" s="29" customFormat="1" ht="22.5" customHeight="1" spans="1:10">
      <c r="A53" s="60"/>
      <c r="B53" s="16"/>
      <c r="C53" s="16"/>
      <c r="D53" s="52">
        <f>COUNTIFS(花名册!C:C,B53)</f>
        <v>0</v>
      </c>
      <c r="E53" s="38"/>
      <c r="F53" s="38">
        <v>0</v>
      </c>
      <c r="G53" s="38"/>
      <c r="H53" s="38" t="e">
        <f t="shared" si="4"/>
        <v>#DIV/0!</v>
      </c>
      <c r="I53" s="38"/>
      <c r="J53" s="38" t="e">
        <f t="shared" si="6"/>
        <v>#DIV/0!</v>
      </c>
    </row>
    <row r="54" s="29" customFormat="1" ht="22.5" customHeight="1" spans="1:10">
      <c r="A54" s="60" t="s">
        <v>64</v>
      </c>
      <c r="B54" s="16"/>
      <c r="C54" s="16"/>
      <c r="D54" s="52">
        <f>COUNTIFS(花名册!C:C,B54)</f>
        <v>0</v>
      </c>
      <c r="E54" s="38"/>
      <c r="F54" s="38">
        <v>0</v>
      </c>
      <c r="G54" s="38"/>
      <c r="H54" s="38" t="e">
        <f t="shared" si="4"/>
        <v>#DIV/0!</v>
      </c>
      <c r="I54" s="38"/>
      <c r="J54" s="38" t="e">
        <f t="shared" si="6"/>
        <v>#DIV/0!</v>
      </c>
    </row>
    <row r="55" s="29" customFormat="1" ht="22.5" customHeight="1" spans="1:10">
      <c r="A55" s="60" t="s">
        <v>65</v>
      </c>
      <c r="B55" s="16"/>
      <c r="C55" s="16"/>
      <c r="D55" s="52">
        <f>COUNTIFS(花名册!C:C,B55)</f>
        <v>0</v>
      </c>
      <c r="E55" s="38"/>
      <c r="F55" s="38">
        <v>0</v>
      </c>
      <c r="G55" s="38"/>
      <c r="H55" s="38" t="e">
        <f t="shared" si="4"/>
        <v>#DIV/0!</v>
      </c>
      <c r="I55" s="38"/>
      <c r="J55" s="38" t="e">
        <f t="shared" si="6"/>
        <v>#DIV/0!</v>
      </c>
    </row>
    <row r="56" s="29" customFormat="1" ht="22.5" customHeight="1" spans="1:10">
      <c r="A56" s="60" t="s">
        <v>66</v>
      </c>
      <c r="B56" s="16"/>
      <c r="C56" s="16"/>
      <c r="D56" s="52">
        <f>COUNTIFS(花名册!C:C,B56)</f>
        <v>0</v>
      </c>
      <c r="E56" s="38"/>
      <c r="F56" s="38">
        <v>0</v>
      </c>
      <c r="G56" s="38"/>
      <c r="H56" s="38" t="e">
        <f t="shared" si="4"/>
        <v>#DIV/0!</v>
      </c>
      <c r="I56" s="38"/>
      <c r="J56" s="38" t="e">
        <f t="shared" si="6"/>
        <v>#DIV/0!</v>
      </c>
    </row>
    <row r="57" ht="22.5" customHeight="1"/>
    <row r="58" ht="22.5" customHeight="1"/>
    <row r="59" ht="22.5" customHeight="1"/>
  </sheetData>
  <autoFilter xmlns:etc="http://www.wps.cn/officeDocument/2017/etCustomData" ref="A2:J56" etc:filterBottomFollowUsedRange="0">
    <extLst/>
  </autoFilter>
  <mergeCells count="64">
    <mergeCell ref="A1:J1"/>
    <mergeCell ref="A2:B2"/>
    <mergeCell ref="A3:C3"/>
    <mergeCell ref="A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A5:A14"/>
    <mergeCell ref="A15:A20"/>
    <mergeCell ref="A21:A24"/>
    <mergeCell ref="A25:A31"/>
    <mergeCell ref="A32:A37"/>
    <mergeCell ref="A38:A43"/>
    <mergeCell ref="A44:A51"/>
    <mergeCell ref="A52:A53"/>
  </mergeCells>
  <pageMargins left="0.75" right="0.75" top="1" bottom="1" header="0.5" footer="0.5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XFC89"/>
  <sheetViews>
    <sheetView zoomScale="85" zoomScaleNormal="85" workbookViewId="0">
      <selection activeCell="E9" sqref="E9"/>
    </sheetView>
  </sheetViews>
  <sheetFormatPr defaultColWidth="8.89090909090909" defaultRowHeight="14"/>
  <cols>
    <col min="1" max="1" width="7.32727272727273" customWidth="1"/>
    <col min="2" max="2" width="12.8181818181818" customWidth="1"/>
    <col min="3" max="3" width="14.8636363636364" customWidth="1"/>
    <col min="4" max="4" width="12.4363636363636" style="1" customWidth="1"/>
    <col min="5" max="5" width="20.8909090909091" customWidth="1"/>
    <col min="6" max="6" width="11.7818181818182" customWidth="1"/>
    <col min="7" max="7" width="7" customWidth="1"/>
    <col min="8" max="8" width="7.32727272727273" customWidth="1"/>
    <col min="9" max="9" width="13.5" customWidth="1"/>
    <col min="10" max="10" width="10.5636363636364" customWidth="1"/>
    <col min="11" max="12" width="13" customWidth="1"/>
    <col min="13" max="13" width="11.9454545454545" customWidth="1"/>
    <col min="14" max="14" width="9.56363636363636" customWidth="1"/>
    <col min="15" max="15" width="23" customWidth="1"/>
    <col min="16" max="16" width="14.1090909090909" customWidth="1"/>
    <col min="17" max="17" width="11.8909090909091" customWidth="1"/>
    <col min="18" max="18" width="8.89090909090909" style="5"/>
    <col min="21" max="21" width="15.1909090909091" customWidth="1"/>
    <col min="22" max="22" width="14.4090909090909" customWidth="1"/>
    <col min="23" max="23" width="12.8363636363636" customWidth="1"/>
    <col min="24" max="24" width="12.5090909090909" customWidth="1"/>
    <col min="16363" max="16384" width="8.89090909090909" style="1"/>
  </cols>
  <sheetData>
    <row r="1" s="1" customFormat="1" ht="27" customHeight="1" spans="1:24">
      <c r="A1" s="6" t="s">
        <v>67</v>
      </c>
      <c r="B1" s="6"/>
      <c r="C1" s="6"/>
      <c r="D1" s="7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8"/>
    </row>
    <row r="2" s="2" customFormat="1" ht="24" customHeight="1" spans="1:24">
      <c r="A2" s="9">
        <v>46113</v>
      </c>
      <c r="B2" s="9"/>
      <c r="C2" s="10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2"/>
    </row>
    <row r="3" s="2" customFormat="1" ht="24" customHeight="1" spans="1:24">
      <c r="A3" s="13" t="s">
        <v>68</v>
      </c>
      <c r="B3" s="13" t="s">
        <v>1</v>
      </c>
      <c r="C3" s="13" t="s">
        <v>69</v>
      </c>
      <c r="D3" s="14" t="s">
        <v>70</v>
      </c>
      <c r="E3" s="13" t="s">
        <v>71</v>
      </c>
      <c r="F3" s="13" t="s">
        <v>72</v>
      </c>
      <c r="G3" s="13" t="s">
        <v>73</v>
      </c>
      <c r="H3" s="13" t="s">
        <v>74</v>
      </c>
      <c r="I3" s="13" t="s">
        <v>75</v>
      </c>
      <c r="J3" s="13" t="s">
        <v>2</v>
      </c>
      <c r="K3" s="13" t="s">
        <v>76</v>
      </c>
      <c r="L3" s="13" t="s">
        <v>77</v>
      </c>
      <c r="M3" s="13" t="s">
        <v>78</v>
      </c>
      <c r="N3" s="13" t="s">
        <v>79</v>
      </c>
      <c r="O3" s="13" t="s">
        <v>80</v>
      </c>
      <c r="P3" s="13" t="s">
        <v>31</v>
      </c>
      <c r="Q3" s="13" t="s">
        <v>81</v>
      </c>
      <c r="R3" s="15" t="s">
        <v>8</v>
      </c>
      <c r="S3" s="15" t="s">
        <v>9</v>
      </c>
      <c r="T3" s="15" t="s">
        <v>10</v>
      </c>
      <c r="U3" s="15" t="s">
        <v>82</v>
      </c>
      <c r="V3" s="15" t="s">
        <v>83</v>
      </c>
      <c r="W3" s="15" t="s">
        <v>13</v>
      </c>
      <c r="X3" s="15" t="s">
        <v>14</v>
      </c>
    </row>
    <row r="4" s="3" customFormat="1" ht="18.6" customHeight="1" spans="1:24">
      <c r="A4" s="16">
        <v>1</v>
      </c>
      <c r="B4" s="16" t="s">
        <v>21</v>
      </c>
      <c r="C4" s="16" t="s">
        <v>84</v>
      </c>
      <c r="D4" s="16"/>
      <c r="E4" s="16"/>
      <c r="F4" s="17"/>
      <c r="G4" s="17"/>
      <c r="H4" s="17"/>
      <c r="I4" s="16"/>
      <c r="J4" s="16"/>
      <c r="K4" s="18"/>
      <c r="L4" s="16"/>
      <c r="M4" s="16"/>
      <c r="N4" s="16"/>
      <c r="O4" s="16"/>
      <c r="P4" s="16"/>
      <c r="Q4" s="16"/>
      <c r="R4" s="17"/>
      <c r="S4" s="17"/>
      <c r="T4" s="17"/>
      <c r="U4" s="17"/>
      <c r="V4" s="17"/>
      <c r="W4" s="17"/>
      <c r="X4" s="17"/>
    </row>
    <row r="5" s="3" customFormat="1" ht="18.6" customHeight="1" spans="1:24">
      <c r="A5" s="16">
        <v>2</v>
      </c>
      <c r="B5" s="16" t="s">
        <v>21</v>
      </c>
      <c r="C5" s="16" t="s">
        <v>84</v>
      </c>
      <c r="D5" s="16"/>
      <c r="E5" s="16"/>
      <c r="F5" s="17"/>
      <c r="G5" s="17"/>
      <c r="H5" s="17"/>
      <c r="I5" s="16"/>
      <c r="J5" s="16"/>
      <c r="K5" s="18"/>
      <c r="L5" s="16"/>
      <c r="M5" s="16"/>
      <c r="N5" s="16"/>
      <c r="O5" s="16"/>
      <c r="P5" s="16"/>
      <c r="Q5" s="16"/>
      <c r="R5" s="17"/>
      <c r="S5" s="17"/>
      <c r="T5" s="17"/>
      <c r="U5" s="17"/>
      <c r="V5" s="17"/>
      <c r="W5" s="17"/>
      <c r="X5" s="17"/>
    </row>
    <row r="6" s="3" customFormat="1" ht="18.6" customHeight="1" spans="1:24">
      <c r="A6" s="16">
        <v>3</v>
      </c>
      <c r="B6" s="16" t="s">
        <v>21</v>
      </c>
      <c r="C6" s="16" t="s">
        <v>84</v>
      </c>
      <c r="D6" s="16"/>
      <c r="E6" s="16"/>
      <c r="F6" s="17"/>
      <c r="G6" s="17"/>
      <c r="H6" s="17"/>
      <c r="I6" s="16"/>
      <c r="J6" s="16"/>
      <c r="K6" s="18"/>
      <c r="L6" s="16"/>
      <c r="M6" s="16"/>
      <c r="N6" s="16"/>
      <c r="O6" s="16"/>
      <c r="P6" s="16"/>
      <c r="Q6" s="16"/>
      <c r="R6" s="17"/>
      <c r="S6" s="17"/>
      <c r="T6" s="17"/>
      <c r="U6" s="17"/>
      <c r="V6" s="17"/>
      <c r="W6" s="17"/>
      <c r="X6" s="17"/>
    </row>
    <row r="7" s="3" customFormat="1" ht="18.6" customHeight="1" spans="1:24">
      <c r="A7" s="16">
        <v>4</v>
      </c>
      <c r="B7" s="16" t="s">
        <v>21</v>
      </c>
      <c r="C7" s="16" t="s">
        <v>84</v>
      </c>
      <c r="D7" s="16"/>
      <c r="E7" s="16"/>
      <c r="F7" s="17"/>
      <c r="G7" s="17"/>
      <c r="H7" s="17"/>
      <c r="I7" s="16"/>
      <c r="J7" s="16"/>
      <c r="K7" s="18"/>
      <c r="L7" s="16"/>
      <c r="M7" s="16"/>
      <c r="N7" s="16"/>
      <c r="O7" s="16"/>
      <c r="P7" s="16"/>
      <c r="Q7" s="19"/>
      <c r="R7" s="17"/>
      <c r="S7" s="17"/>
      <c r="T7" s="17"/>
      <c r="U7" s="17"/>
      <c r="V7" s="17"/>
      <c r="W7" s="17"/>
      <c r="X7" s="17"/>
    </row>
    <row r="8" s="3" customFormat="1" ht="18.6" customHeight="1" spans="1:24">
      <c r="A8" s="16">
        <v>5</v>
      </c>
      <c r="B8" s="16" t="s">
        <v>21</v>
      </c>
      <c r="C8" s="16" t="s">
        <v>85</v>
      </c>
      <c r="D8" s="16"/>
      <c r="E8" s="16"/>
      <c r="F8" s="17"/>
      <c r="G8" s="17"/>
      <c r="H8" s="17"/>
      <c r="I8" s="16"/>
      <c r="J8" s="16"/>
      <c r="K8" s="18"/>
      <c r="L8" s="16"/>
      <c r="M8" s="16"/>
      <c r="N8" s="16"/>
      <c r="O8" s="16"/>
      <c r="P8" s="16"/>
      <c r="Q8" s="16"/>
      <c r="R8" s="17"/>
      <c r="S8" s="17"/>
      <c r="T8" s="17"/>
      <c r="U8" s="17"/>
      <c r="V8" s="17"/>
      <c r="W8" s="17"/>
      <c r="X8" s="17"/>
    </row>
    <row r="9" s="3" customFormat="1" ht="18.6" customHeight="1" spans="1:24">
      <c r="A9" s="16">
        <v>6</v>
      </c>
      <c r="B9" s="16" t="s">
        <v>21</v>
      </c>
      <c r="C9" s="16" t="s">
        <v>85</v>
      </c>
      <c r="D9" s="16"/>
      <c r="E9" s="16"/>
      <c r="F9" s="17"/>
      <c r="G9" s="17"/>
      <c r="H9" s="17"/>
      <c r="I9" s="16"/>
      <c r="J9" s="16"/>
      <c r="K9" s="18"/>
      <c r="L9" s="16"/>
      <c r="M9" s="16"/>
      <c r="N9" s="16"/>
      <c r="O9" s="16"/>
      <c r="P9" s="16"/>
      <c r="Q9" s="16"/>
      <c r="R9" s="17"/>
      <c r="S9" s="17"/>
      <c r="T9" s="17"/>
      <c r="U9" s="17"/>
      <c r="V9" s="17"/>
      <c r="W9" s="17"/>
      <c r="X9" s="17"/>
    </row>
    <row r="10" s="3" customFormat="1" ht="18.6" customHeight="1" spans="1:24">
      <c r="A10" s="16">
        <v>7</v>
      </c>
      <c r="B10" s="16" t="s">
        <v>21</v>
      </c>
      <c r="C10" s="16" t="s">
        <v>86</v>
      </c>
      <c r="D10" s="16"/>
      <c r="E10" s="16"/>
      <c r="F10" s="17"/>
      <c r="G10" s="17"/>
      <c r="H10" s="17"/>
      <c r="I10" s="16"/>
      <c r="J10" s="16"/>
      <c r="K10" s="18"/>
      <c r="L10" s="16"/>
      <c r="M10" s="16"/>
      <c r="N10" s="16"/>
      <c r="O10" s="16"/>
      <c r="P10" s="16"/>
      <c r="Q10" s="16"/>
      <c r="R10" s="17"/>
      <c r="S10" s="17"/>
      <c r="T10" s="17"/>
      <c r="U10" s="17"/>
      <c r="V10" s="17"/>
      <c r="W10" s="17"/>
      <c r="X10" s="17"/>
    </row>
    <row r="11" s="3" customFormat="1" ht="18.6" customHeight="1" spans="1:24">
      <c r="A11" s="16">
        <v>8</v>
      </c>
      <c r="B11" s="16" t="s">
        <v>21</v>
      </c>
      <c r="C11" s="16" t="s">
        <v>86</v>
      </c>
      <c r="D11" s="16"/>
      <c r="E11" s="16"/>
      <c r="F11" s="17"/>
      <c r="G11" s="17"/>
      <c r="H11" s="17"/>
      <c r="I11" s="16"/>
      <c r="J11" s="16"/>
      <c r="K11" s="18"/>
      <c r="L11" s="16"/>
      <c r="M11" s="16"/>
      <c r="N11" s="16"/>
      <c r="O11" s="16"/>
      <c r="P11" s="16"/>
      <c r="Q11" s="16"/>
      <c r="R11" s="17"/>
      <c r="S11" s="17"/>
      <c r="T11" s="17"/>
      <c r="U11" s="17"/>
      <c r="V11" s="17"/>
      <c r="W11" s="17"/>
      <c r="X11" s="17"/>
    </row>
    <row r="12" s="3" customFormat="1" ht="18.6" customHeight="1" spans="1:24">
      <c r="A12" s="16">
        <v>9</v>
      </c>
      <c r="B12" s="16" t="s">
        <v>21</v>
      </c>
      <c r="C12" s="16" t="s">
        <v>86</v>
      </c>
      <c r="D12" s="16"/>
      <c r="E12" s="16"/>
      <c r="F12" s="17"/>
      <c r="G12" s="17"/>
      <c r="H12" s="17"/>
      <c r="I12" s="16"/>
      <c r="J12" s="16"/>
      <c r="K12" s="18"/>
      <c r="L12" s="16"/>
      <c r="M12" s="16"/>
      <c r="N12" s="16"/>
      <c r="O12" s="16"/>
      <c r="P12" s="16"/>
      <c r="Q12" s="20"/>
      <c r="R12" s="17"/>
      <c r="S12" s="17"/>
      <c r="T12" s="17"/>
      <c r="U12" s="17"/>
      <c r="V12" s="17"/>
      <c r="W12" s="17"/>
      <c r="X12" s="17"/>
    </row>
    <row r="13" s="3" customFormat="1" ht="18.6" customHeight="1" spans="1:24">
      <c r="A13" s="16">
        <v>22</v>
      </c>
      <c r="B13" s="16" t="s">
        <v>21</v>
      </c>
      <c r="C13" s="16" t="s">
        <v>87</v>
      </c>
      <c r="D13" s="16"/>
      <c r="E13" s="16"/>
      <c r="F13" s="17"/>
      <c r="G13" s="17"/>
      <c r="H13" s="17"/>
      <c r="I13" s="16"/>
      <c r="J13" s="16"/>
      <c r="K13" s="18"/>
      <c r="L13" s="16"/>
      <c r="M13" s="16"/>
      <c r="N13" s="16"/>
      <c r="O13" s="16"/>
      <c r="P13" s="16"/>
      <c r="Q13" s="16"/>
      <c r="R13" s="17"/>
      <c r="S13" s="17"/>
      <c r="T13" s="17"/>
      <c r="U13" s="17"/>
      <c r="V13" s="17"/>
      <c r="W13" s="17"/>
      <c r="X13" s="17"/>
    </row>
    <row r="14" s="3" customFormat="1" ht="18.6" customHeight="1" spans="1:24">
      <c r="A14" s="16">
        <v>23</v>
      </c>
      <c r="B14" s="16" t="s">
        <v>21</v>
      </c>
      <c r="C14" s="16" t="s">
        <v>87</v>
      </c>
      <c r="D14" s="16"/>
      <c r="E14" s="16"/>
      <c r="F14" s="17"/>
      <c r="G14" s="17"/>
      <c r="H14" s="17"/>
      <c r="I14" s="16"/>
      <c r="J14" s="16"/>
      <c r="K14" s="18"/>
      <c r="L14" s="16"/>
      <c r="M14" s="16"/>
      <c r="N14" s="16"/>
      <c r="O14" s="16"/>
      <c r="P14" s="16"/>
      <c r="Q14" s="16"/>
      <c r="R14" s="17"/>
      <c r="S14" s="17"/>
      <c r="T14" s="17"/>
      <c r="U14" s="17"/>
      <c r="V14" s="17"/>
      <c r="W14" s="17"/>
      <c r="X14" s="17"/>
    </row>
    <row r="15" s="3" customFormat="1" ht="18.6" customHeight="1" spans="1:24">
      <c r="A15" s="16">
        <v>24</v>
      </c>
      <c r="B15" s="16" t="s">
        <v>21</v>
      </c>
      <c r="C15" s="16" t="s">
        <v>87</v>
      </c>
      <c r="D15" s="16"/>
      <c r="E15" s="16"/>
      <c r="F15" s="17"/>
      <c r="G15" s="17"/>
      <c r="H15" s="17"/>
      <c r="I15" s="16"/>
      <c r="J15" s="16"/>
      <c r="K15" s="18"/>
      <c r="L15" s="16"/>
      <c r="M15" s="16"/>
      <c r="N15" s="16"/>
      <c r="O15" s="16"/>
      <c r="P15" s="16"/>
      <c r="Q15" s="16"/>
      <c r="R15" s="17"/>
      <c r="S15" s="17"/>
      <c r="T15" s="17"/>
      <c r="U15" s="17"/>
      <c r="V15" s="17"/>
      <c r="W15" s="17"/>
      <c r="X15" s="17"/>
    </row>
    <row r="16" s="3" customFormat="1" ht="18.6" customHeight="1" spans="1:24">
      <c r="A16" s="16">
        <v>25</v>
      </c>
      <c r="B16" s="16" t="s">
        <v>21</v>
      </c>
      <c r="C16" s="16" t="s">
        <v>87</v>
      </c>
      <c r="D16" s="16"/>
      <c r="E16" s="16"/>
      <c r="F16" s="17"/>
      <c r="G16" s="17"/>
      <c r="H16" s="17"/>
      <c r="I16" s="16"/>
      <c r="J16" s="16"/>
      <c r="K16" s="18"/>
      <c r="L16" s="16"/>
      <c r="M16" s="16"/>
      <c r="N16" s="16"/>
      <c r="O16" s="16"/>
      <c r="P16" s="16"/>
      <c r="Q16" s="16"/>
      <c r="R16" s="17"/>
      <c r="S16" s="17"/>
      <c r="T16" s="17"/>
      <c r="U16" s="17"/>
      <c r="V16" s="17"/>
      <c r="W16" s="17"/>
      <c r="X16" s="17"/>
    </row>
    <row r="17" s="3" customFormat="1" ht="18.6" customHeight="1" spans="1:24 16363:16383">
      <c r="A17" s="16">
        <v>26</v>
      </c>
      <c r="B17" s="16" t="s">
        <v>21</v>
      </c>
      <c r="C17" s="16" t="s">
        <v>87</v>
      </c>
      <c r="D17" s="16"/>
      <c r="E17" s="16"/>
      <c r="F17" s="17"/>
      <c r="G17" s="17"/>
      <c r="H17" s="17"/>
      <c r="I17" s="16"/>
      <c r="J17" s="16"/>
      <c r="K17" s="18"/>
      <c r="L17" s="16"/>
      <c r="M17" s="16"/>
      <c r="N17" s="16"/>
      <c r="O17" s="16"/>
      <c r="P17" s="16"/>
      <c r="Q17" s="21"/>
      <c r="R17" s="17"/>
      <c r="S17" s="17"/>
      <c r="T17" s="17"/>
      <c r="U17" s="17"/>
      <c r="V17" s="17"/>
      <c r="W17" s="17"/>
      <c r="X17" s="17"/>
    </row>
    <row r="18" s="3" customFormat="1" ht="18.6" customHeight="1" spans="1:24 16363:16383">
      <c r="A18" s="16">
        <v>27</v>
      </c>
      <c r="B18" s="16" t="s">
        <v>21</v>
      </c>
      <c r="C18" s="16" t="s">
        <v>87</v>
      </c>
      <c r="D18" s="16"/>
      <c r="E18" s="16"/>
      <c r="F18" s="17"/>
      <c r="G18" s="17"/>
      <c r="H18" s="17"/>
      <c r="I18" s="16"/>
      <c r="J18" s="16"/>
      <c r="K18" s="18"/>
      <c r="L18" s="16"/>
      <c r="M18" s="16"/>
      <c r="N18" s="16"/>
      <c r="O18" s="16"/>
      <c r="P18" s="16"/>
      <c r="Q18" s="21"/>
      <c r="R18" s="17"/>
      <c r="S18" s="17"/>
      <c r="T18" s="17"/>
      <c r="U18" s="17"/>
      <c r="V18" s="17"/>
      <c r="W18" s="17"/>
      <c r="X18" s="17"/>
    </row>
    <row r="19" s="3" customFormat="1" ht="18.6" customHeight="1" spans="1:24 16363:16383">
      <c r="A19" s="16">
        <v>28</v>
      </c>
      <c r="B19" s="16" t="s">
        <v>21</v>
      </c>
      <c r="C19" s="16" t="s">
        <v>87</v>
      </c>
      <c r="D19" s="16"/>
      <c r="E19" s="16"/>
      <c r="F19" s="17"/>
      <c r="G19" s="17"/>
      <c r="H19" s="17"/>
      <c r="I19" s="16"/>
      <c r="J19" s="16"/>
      <c r="K19" s="18"/>
      <c r="L19" s="17"/>
      <c r="M19" s="16"/>
      <c r="N19" s="16"/>
      <c r="O19" s="16"/>
      <c r="P19" s="16"/>
      <c r="Q19" s="21"/>
      <c r="R19" s="17"/>
      <c r="S19" s="17"/>
      <c r="T19" s="17"/>
      <c r="U19" s="17"/>
      <c r="V19" s="17"/>
      <c r="W19" s="17"/>
      <c r="X19" s="17"/>
    </row>
    <row r="20" s="3" customFormat="1" ht="18.6" customHeight="1" spans="1:24 16363:16383">
      <c r="A20" s="16">
        <v>29</v>
      </c>
      <c r="B20" s="16" t="s">
        <v>21</v>
      </c>
      <c r="C20" s="16" t="s">
        <v>88</v>
      </c>
      <c r="D20" s="16"/>
      <c r="E20" s="16"/>
      <c r="F20" s="17"/>
      <c r="G20" s="17"/>
      <c r="H20" s="17"/>
      <c r="I20" s="16"/>
      <c r="J20" s="16"/>
      <c r="K20" s="18"/>
      <c r="L20" s="16"/>
      <c r="M20" s="16"/>
      <c r="N20" s="16"/>
      <c r="O20" s="16"/>
      <c r="P20" s="16"/>
      <c r="Q20" s="16"/>
      <c r="R20" s="17"/>
      <c r="S20" s="17"/>
      <c r="T20" s="17"/>
      <c r="U20" s="17"/>
      <c r="V20" s="17"/>
      <c r="W20" s="17"/>
      <c r="X20" s="17"/>
    </row>
    <row r="21" s="3" customFormat="1" ht="18.6" customHeight="1" spans="1:24 16363:16383">
      <c r="A21" s="16">
        <v>30</v>
      </c>
      <c r="B21" s="16" t="s">
        <v>21</v>
      </c>
      <c r="C21" s="16" t="s">
        <v>88</v>
      </c>
      <c r="D21" s="16"/>
      <c r="E21" s="16"/>
      <c r="F21" s="17"/>
      <c r="G21" s="17"/>
      <c r="H21" s="17"/>
      <c r="I21" s="16"/>
      <c r="J21" s="16"/>
      <c r="K21" s="18"/>
      <c r="L21" s="16"/>
      <c r="M21" s="16"/>
      <c r="N21" s="16"/>
      <c r="O21" s="16"/>
      <c r="P21" s="16"/>
      <c r="Q21" s="20"/>
      <c r="R21" s="17"/>
      <c r="S21" s="17"/>
      <c r="T21" s="17"/>
      <c r="U21" s="17"/>
      <c r="V21" s="17"/>
      <c r="W21" s="17"/>
      <c r="X21" s="17"/>
    </row>
    <row r="22" s="3" customFormat="1" ht="18.6" customHeight="1" spans="1:24 16363:16383">
      <c r="A22" s="16">
        <v>31</v>
      </c>
      <c r="B22" s="16" t="s">
        <v>21</v>
      </c>
      <c r="C22" s="16" t="s">
        <v>89</v>
      </c>
      <c r="D22" s="16"/>
      <c r="E22" s="16"/>
      <c r="F22" s="17"/>
      <c r="G22" s="17"/>
      <c r="H22" s="17"/>
      <c r="I22" s="16"/>
      <c r="J22" s="16"/>
      <c r="K22" s="18"/>
      <c r="L22" s="16"/>
      <c r="M22" s="16"/>
      <c r="N22" s="16"/>
      <c r="O22" s="16"/>
      <c r="P22" s="16"/>
      <c r="Q22" s="16"/>
      <c r="R22" s="17"/>
      <c r="S22" s="17"/>
      <c r="T22" s="17"/>
      <c r="U22" s="17"/>
      <c r="V22" s="17"/>
      <c r="W22" s="17"/>
      <c r="X22" s="17"/>
    </row>
    <row r="23" s="3" customFormat="1" ht="18.6" customHeight="1" spans="1:24 16363:16383">
      <c r="A23" s="16">
        <v>32</v>
      </c>
      <c r="B23" s="16" t="s">
        <v>21</v>
      </c>
      <c r="C23" s="16" t="s">
        <v>89</v>
      </c>
      <c r="D23" s="16"/>
      <c r="E23" s="16"/>
      <c r="F23" s="17"/>
      <c r="G23" s="17"/>
      <c r="H23" s="17"/>
      <c r="I23" s="16"/>
      <c r="J23" s="16"/>
      <c r="K23" s="18"/>
      <c r="L23" s="16"/>
      <c r="M23" s="16"/>
      <c r="N23" s="16"/>
      <c r="O23" s="16"/>
      <c r="P23" s="16"/>
      <c r="Q23" s="16"/>
      <c r="R23" s="17"/>
      <c r="S23" s="17"/>
      <c r="T23" s="17"/>
      <c r="U23" s="17"/>
      <c r="V23" s="17"/>
      <c r="W23" s="17"/>
      <c r="X23" s="17"/>
    </row>
    <row r="24" s="3" customFormat="1" ht="18.6" customHeight="1" spans="1:24 16363:16383">
      <c r="A24" s="16">
        <v>33</v>
      </c>
      <c r="B24" s="16" t="s">
        <v>21</v>
      </c>
      <c r="C24" s="16" t="s">
        <v>90</v>
      </c>
      <c r="D24" s="16"/>
      <c r="E24" s="16"/>
      <c r="F24" s="17"/>
      <c r="G24" s="17"/>
      <c r="H24" s="17"/>
      <c r="I24" s="16"/>
      <c r="J24" s="16"/>
      <c r="K24" s="18"/>
      <c r="L24" s="16"/>
      <c r="M24" s="16"/>
      <c r="N24" s="16"/>
      <c r="O24" s="16"/>
      <c r="P24" s="16"/>
      <c r="Q24" s="16"/>
      <c r="R24" s="17"/>
      <c r="S24" s="17"/>
      <c r="T24" s="17"/>
      <c r="U24" s="17"/>
      <c r="V24" s="17"/>
      <c r="W24" s="17"/>
      <c r="X24" s="17"/>
    </row>
    <row r="25" s="3" customFormat="1" ht="18.6" customHeight="1" spans="1:24 16363:16383">
      <c r="A25" s="16">
        <v>34</v>
      </c>
      <c r="B25" s="16" t="s">
        <v>21</v>
      </c>
      <c r="C25" s="16" t="s">
        <v>90</v>
      </c>
      <c r="D25" s="16"/>
      <c r="E25" s="16"/>
      <c r="F25" s="17"/>
      <c r="G25" s="17"/>
      <c r="H25" s="17"/>
      <c r="I25" s="16"/>
      <c r="J25" s="16"/>
      <c r="K25" s="18"/>
      <c r="L25" s="16"/>
      <c r="M25" s="16"/>
      <c r="N25" s="16"/>
      <c r="O25" s="16"/>
      <c r="P25" s="16"/>
      <c r="Q25" s="20"/>
      <c r="R25" s="17"/>
      <c r="S25" s="17"/>
      <c r="T25" s="17"/>
      <c r="U25" s="17"/>
      <c r="V25" s="17"/>
      <c r="W25" s="17"/>
      <c r="X25" s="17"/>
    </row>
    <row r="26" s="3" customFormat="1" ht="18.6" customHeight="1" spans="1:24 16363:16383">
      <c r="A26" s="16">
        <v>35</v>
      </c>
      <c r="B26" s="16" t="s">
        <v>21</v>
      </c>
      <c r="C26" s="16" t="s">
        <v>91</v>
      </c>
      <c r="D26" s="16"/>
      <c r="E26" s="16"/>
      <c r="F26" s="17"/>
      <c r="G26" s="17"/>
      <c r="H26" s="17"/>
      <c r="I26" s="16"/>
      <c r="J26" s="16"/>
      <c r="K26" s="18"/>
      <c r="L26" s="16"/>
      <c r="M26" s="16"/>
      <c r="N26" s="16"/>
      <c r="O26" s="16"/>
      <c r="P26" s="16"/>
      <c r="Q26" s="16"/>
      <c r="R26" s="17"/>
      <c r="S26" s="17"/>
      <c r="T26" s="17"/>
      <c r="U26" s="17"/>
      <c r="V26" s="17"/>
      <c r="W26" s="17"/>
      <c r="X26" s="17"/>
    </row>
    <row r="27" s="3" customFormat="1" ht="18.6" customHeight="1" spans="1:24 16363:16383">
      <c r="A27" s="16">
        <v>36</v>
      </c>
      <c r="B27" s="16" t="s">
        <v>21</v>
      </c>
      <c r="C27" s="16" t="s">
        <v>91</v>
      </c>
      <c r="D27" s="16"/>
      <c r="E27" s="16"/>
      <c r="F27" s="17"/>
      <c r="G27" s="17"/>
      <c r="H27" s="17"/>
      <c r="I27" s="16"/>
      <c r="J27" s="16"/>
      <c r="K27" s="18"/>
      <c r="L27" s="16"/>
      <c r="M27" s="16"/>
      <c r="N27" s="16"/>
      <c r="O27" s="16"/>
      <c r="P27" s="16"/>
      <c r="Q27" s="16"/>
      <c r="R27" s="17"/>
      <c r="S27" s="17"/>
      <c r="T27" s="17"/>
      <c r="U27" s="17"/>
      <c r="V27" s="17"/>
      <c r="W27" s="17"/>
      <c r="X27" s="17"/>
    </row>
    <row r="28" s="3" customFormat="1" ht="18.6" customHeight="1" spans="1:24 16363:16383">
      <c r="A28" s="16">
        <v>37</v>
      </c>
      <c r="B28" s="16" t="s">
        <v>21</v>
      </c>
      <c r="C28" s="16" t="s">
        <v>91</v>
      </c>
      <c r="D28" s="16"/>
      <c r="E28" s="16"/>
      <c r="F28" s="17"/>
      <c r="G28" s="17"/>
      <c r="H28" s="17"/>
      <c r="I28" s="16"/>
      <c r="J28" s="16"/>
      <c r="K28" s="18"/>
      <c r="L28" s="16"/>
      <c r="M28" s="16"/>
      <c r="N28" s="16"/>
      <c r="O28" s="16"/>
      <c r="P28" s="16"/>
      <c r="Q28" s="16"/>
      <c r="R28" s="17"/>
      <c r="S28" s="17"/>
      <c r="T28" s="17"/>
      <c r="U28" s="17"/>
      <c r="V28" s="17"/>
      <c r="W28" s="17"/>
      <c r="X28" s="17"/>
    </row>
    <row r="29" s="3" customFormat="1" ht="18.6" customHeight="1" spans="1:24 16363:16383">
      <c r="A29" s="16">
        <v>38</v>
      </c>
      <c r="B29" s="16" t="s">
        <v>21</v>
      </c>
      <c r="C29" s="16" t="s">
        <v>91</v>
      </c>
      <c r="D29" s="16"/>
      <c r="E29" s="16"/>
      <c r="F29" s="17"/>
      <c r="G29" s="17"/>
      <c r="H29" s="17"/>
      <c r="I29" s="16"/>
      <c r="J29" s="16"/>
      <c r="K29" s="18"/>
      <c r="L29" s="16"/>
      <c r="M29" s="16"/>
      <c r="N29" s="16"/>
      <c r="O29" s="16"/>
      <c r="P29" s="16"/>
      <c r="Q29" s="16"/>
      <c r="R29" s="17"/>
      <c r="S29" s="17"/>
      <c r="T29" s="17"/>
      <c r="U29" s="17"/>
      <c r="V29" s="17"/>
      <c r="W29" s="17"/>
      <c r="X29" s="17"/>
    </row>
    <row r="30" s="3" customFormat="1" ht="18.6" customHeight="1" spans="1:24 16363:16383">
      <c r="A30" s="16">
        <v>39</v>
      </c>
      <c r="B30" s="16" t="s">
        <v>21</v>
      </c>
      <c r="C30" s="16" t="s">
        <v>91</v>
      </c>
      <c r="D30" s="16"/>
      <c r="E30" s="16"/>
      <c r="F30" s="17"/>
      <c r="G30" s="17"/>
      <c r="H30" s="17"/>
      <c r="I30" s="16"/>
      <c r="J30" s="16"/>
      <c r="K30" s="18"/>
      <c r="L30" s="16"/>
      <c r="M30" s="16"/>
      <c r="N30" s="16"/>
      <c r="O30" s="16"/>
      <c r="P30" s="16"/>
      <c r="Q30" s="16"/>
      <c r="R30" s="17"/>
      <c r="S30" s="17"/>
      <c r="T30" s="17"/>
      <c r="U30" s="17"/>
      <c r="V30" s="17"/>
      <c r="W30" s="17"/>
      <c r="X30" s="17"/>
    </row>
    <row r="31" s="3" customFormat="1" ht="18.6" customHeight="1" spans="1:24 16363:16383">
      <c r="A31" s="16">
        <v>40</v>
      </c>
      <c r="B31" s="16" t="s">
        <v>21</v>
      </c>
      <c r="C31" s="16" t="s">
        <v>91</v>
      </c>
      <c r="D31" s="16"/>
      <c r="E31" s="16"/>
      <c r="F31" s="17"/>
      <c r="G31" s="17"/>
      <c r="H31" s="17"/>
      <c r="I31" s="16"/>
      <c r="J31" s="16"/>
      <c r="K31" s="18"/>
      <c r="L31" s="16"/>
      <c r="M31" s="16"/>
      <c r="N31" s="16"/>
      <c r="O31" s="16"/>
      <c r="P31" s="16"/>
      <c r="Q31" s="21"/>
      <c r="R31" s="17"/>
      <c r="S31" s="17"/>
      <c r="T31" s="17"/>
      <c r="U31" s="17"/>
      <c r="V31" s="17"/>
      <c r="W31" s="17"/>
      <c r="X31" s="17"/>
    </row>
    <row r="32" s="3" customFormat="1" ht="18.6" customHeight="1" spans="1:24 16363:16383">
      <c r="A32" s="16">
        <v>41</v>
      </c>
      <c r="B32" s="17" t="s">
        <v>21</v>
      </c>
      <c r="C32" s="17" t="s">
        <v>91</v>
      </c>
      <c r="D32" s="17"/>
      <c r="E32" s="17"/>
      <c r="F32" s="22"/>
      <c r="G32" s="22"/>
      <c r="H32" s="22"/>
      <c r="I32" s="17"/>
      <c r="J32" s="17"/>
      <c r="K32" s="18"/>
      <c r="L32" s="17"/>
      <c r="M32" s="17"/>
      <c r="N32" s="17"/>
      <c r="O32" s="17"/>
      <c r="P32" s="17"/>
      <c r="Q32" s="23"/>
      <c r="R32" s="17"/>
      <c r="S32" s="17"/>
      <c r="T32" s="17"/>
      <c r="U32" s="17"/>
      <c r="V32" s="17"/>
      <c r="W32" s="17"/>
      <c r="X32" s="17"/>
      <c r="XEI32" s="1"/>
      <c r="XEJ32" s="1"/>
      <c r="XEK32" s="1"/>
      <c r="XEL32" s="1"/>
      <c r="XEM32" s="1"/>
      <c r="XEN32" s="1"/>
      <c r="XEO32" s="1"/>
      <c r="XEP32" s="1"/>
      <c r="XEQ32" s="1"/>
      <c r="XER32" s="1"/>
      <c r="XES32" s="1"/>
      <c r="XET32" s="1"/>
      <c r="XEU32" s="1"/>
      <c r="XEV32" s="1"/>
      <c r="XEW32" s="1"/>
      <c r="XEX32" s="1"/>
      <c r="XEY32" s="1"/>
      <c r="XEZ32" s="1"/>
      <c r="XFA32" s="1"/>
      <c r="XFB32" s="1"/>
      <c r="XFC32" s="1"/>
    </row>
    <row r="33" s="3" customFormat="1" ht="18.6" customHeight="1" spans="1:24">
      <c r="A33" s="16">
        <v>42</v>
      </c>
      <c r="B33" s="16" t="s">
        <v>21</v>
      </c>
      <c r="C33" s="16" t="s">
        <v>92</v>
      </c>
      <c r="D33" s="16"/>
      <c r="E33" s="16"/>
      <c r="F33" s="17"/>
      <c r="G33" s="17"/>
      <c r="H33" s="17"/>
      <c r="I33" s="16"/>
      <c r="J33" s="16"/>
      <c r="K33" s="18"/>
      <c r="L33" s="16"/>
      <c r="M33" s="16"/>
      <c r="N33" s="16"/>
      <c r="O33" s="16"/>
      <c r="P33" s="16"/>
      <c r="Q33" s="16"/>
      <c r="R33" s="17"/>
      <c r="S33" s="17"/>
      <c r="T33" s="17"/>
      <c r="U33" s="17"/>
      <c r="V33" s="17"/>
      <c r="W33" s="17"/>
      <c r="X33" s="17"/>
    </row>
    <row r="34" s="3" customFormat="1" ht="18.6" customHeight="1" spans="1:24">
      <c r="A34" s="16">
        <v>43</v>
      </c>
      <c r="B34" s="16" t="s">
        <v>21</v>
      </c>
      <c r="C34" s="16" t="s">
        <v>92</v>
      </c>
      <c r="D34" s="16"/>
      <c r="E34" s="16"/>
      <c r="F34" s="17"/>
      <c r="G34" s="17"/>
      <c r="H34" s="17"/>
      <c r="I34" s="16"/>
      <c r="J34" s="16"/>
      <c r="K34" s="18"/>
      <c r="L34" s="16"/>
      <c r="M34" s="16"/>
      <c r="N34" s="16"/>
      <c r="O34" s="16"/>
      <c r="P34" s="16"/>
      <c r="Q34" s="16"/>
      <c r="R34" s="17"/>
      <c r="S34" s="17"/>
      <c r="T34" s="17"/>
      <c r="U34" s="17"/>
      <c r="V34" s="17"/>
      <c r="W34" s="17"/>
      <c r="X34" s="17"/>
    </row>
    <row r="35" s="3" customFormat="1" ht="18.6" customHeight="1" spans="1:24">
      <c r="A35" s="16">
        <v>44</v>
      </c>
      <c r="B35" s="16" t="s">
        <v>21</v>
      </c>
      <c r="C35" s="16" t="s">
        <v>92</v>
      </c>
      <c r="D35" s="16"/>
      <c r="E35" s="16"/>
      <c r="F35" s="17"/>
      <c r="G35" s="17"/>
      <c r="H35" s="17"/>
      <c r="I35" s="16"/>
      <c r="J35" s="16"/>
      <c r="K35" s="18"/>
      <c r="L35" s="16"/>
      <c r="M35" s="16"/>
      <c r="N35" s="16"/>
      <c r="O35" s="16"/>
      <c r="P35" s="16"/>
      <c r="Q35" s="16"/>
      <c r="R35" s="17"/>
      <c r="S35" s="17"/>
      <c r="T35" s="17"/>
      <c r="U35" s="17"/>
      <c r="V35" s="17"/>
      <c r="W35" s="17"/>
      <c r="X35" s="17"/>
    </row>
    <row r="36" s="3" customFormat="1" ht="18.6" customHeight="1" spans="1:24">
      <c r="A36" s="16">
        <v>45</v>
      </c>
      <c r="B36" s="16" t="s">
        <v>21</v>
      </c>
      <c r="C36" s="16" t="s">
        <v>93</v>
      </c>
      <c r="D36" s="16"/>
      <c r="E36" s="16"/>
      <c r="F36" s="17"/>
      <c r="G36" s="17"/>
      <c r="H36" s="17"/>
      <c r="I36" s="16"/>
      <c r="J36" s="16"/>
      <c r="K36" s="18"/>
      <c r="L36" s="16"/>
      <c r="M36" s="16"/>
      <c r="N36" s="16"/>
      <c r="O36" s="16"/>
      <c r="P36" s="16"/>
      <c r="Q36" s="16"/>
      <c r="R36" s="17"/>
      <c r="S36" s="17"/>
      <c r="T36" s="17"/>
      <c r="U36" s="17"/>
      <c r="V36" s="17"/>
      <c r="W36" s="17"/>
      <c r="X36" s="17"/>
    </row>
    <row r="37" s="3" customFormat="1" ht="18.6" customHeight="1" spans="1:24">
      <c r="A37" s="16">
        <v>46</v>
      </c>
      <c r="B37" s="16" t="s">
        <v>21</v>
      </c>
      <c r="C37" s="16" t="s">
        <v>93</v>
      </c>
      <c r="D37" s="16"/>
      <c r="E37" s="16"/>
      <c r="F37" s="17"/>
      <c r="G37" s="17"/>
      <c r="H37" s="17"/>
      <c r="I37" s="16"/>
      <c r="J37" s="16"/>
      <c r="K37" s="18"/>
      <c r="L37" s="16"/>
      <c r="M37" s="16"/>
      <c r="N37" s="16"/>
      <c r="O37" s="16"/>
      <c r="P37" s="16"/>
      <c r="Q37" s="16"/>
      <c r="R37" s="17"/>
      <c r="S37" s="17"/>
      <c r="T37" s="17"/>
      <c r="U37" s="17"/>
      <c r="V37" s="17"/>
      <c r="W37" s="17"/>
      <c r="X37" s="17"/>
    </row>
    <row r="38" s="3" customFormat="1" ht="18.6" customHeight="1" spans="1:24">
      <c r="A38" s="16">
        <v>47</v>
      </c>
      <c r="B38" s="16" t="s">
        <v>21</v>
      </c>
      <c r="C38" s="16" t="s">
        <v>94</v>
      </c>
      <c r="D38" s="16"/>
      <c r="E38" s="16"/>
      <c r="F38" s="17"/>
      <c r="G38" s="17"/>
      <c r="H38" s="17"/>
      <c r="I38" s="16"/>
      <c r="J38" s="16"/>
      <c r="K38" s="18"/>
      <c r="L38" s="16"/>
      <c r="M38" s="16"/>
      <c r="N38" s="16"/>
      <c r="O38" s="16"/>
      <c r="P38" s="16"/>
      <c r="Q38" s="16"/>
      <c r="R38" s="17"/>
      <c r="S38" s="17"/>
      <c r="T38" s="17"/>
      <c r="U38" s="17"/>
      <c r="V38" s="17"/>
      <c r="W38" s="17"/>
      <c r="X38" s="17"/>
    </row>
    <row r="39" s="3" customFormat="1" ht="18.6" customHeight="1" spans="1:24">
      <c r="A39" s="16">
        <v>48</v>
      </c>
      <c r="B39" s="16" t="s">
        <v>21</v>
      </c>
      <c r="C39" s="16" t="s">
        <v>94</v>
      </c>
      <c r="D39" s="16"/>
      <c r="E39" s="16"/>
      <c r="F39" s="17"/>
      <c r="G39" s="17"/>
      <c r="H39" s="17"/>
      <c r="I39" s="16"/>
      <c r="J39" s="16"/>
      <c r="K39" s="18"/>
      <c r="L39" s="16"/>
      <c r="M39" s="16"/>
      <c r="N39" s="16"/>
      <c r="O39" s="16"/>
      <c r="P39" s="16"/>
      <c r="Q39" s="16"/>
      <c r="R39" s="17"/>
      <c r="S39" s="17"/>
      <c r="T39" s="17"/>
      <c r="U39" s="17"/>
      <c r="V39" s="17"/>
      <c r="W39" s="17"/>
      <c r="X39" s="17"/>
    </row>
    <row r="40" s="3" customFormat="1" ht="18.6" customHeight="1" spans="1:24">
      <c r="A40" s="16">
        <v>49</v>
      </c>
      <c r="B40" s="16" t="s">
        <v>21</v>
      </c>
      <c r="C40" s="16" t="s">
        <v>95</v>
      </c>
      <c r="D40" s="16"/>
      <c r="E40" s="16"/>
      <c r="F40" s="17"/>
      <c r="G40" s="17"/>
      <c r="H40" s="17"/>
      <c r="I40" s="16"/>
      <c r="J40" s="16"/>
      <c r="K40" s="18"/>
      <c r="L40" s="16"/>
      <c r="M40" s="16"/>
      <c r="N40" s="16"/>
      <c r="O40" s="16"/>
      <c r="P40" s="16"/>
      <c r="Q40" s="24"/>
      <c r="R40" s="17"/>
      <c r="S40" s="17"/>
      <c r="T40" s="17"/>
      <c r="U40" s="17"/>
      <c r="V40" s="17"/>
      <c r="W40" s="17"/>
      <c r="X40" s="17"/>
    </row>
    <row r="41" s="3" customFormat="1" ht="18.6" customHeight="1" spans="1:24">
      <c r="A41" s="16">
        <v>50</v>
      </c>
      <c r="B41" s="16" t="s">
        <v>21</v>
      </c>
      <c r="C41" s="16" t="s">
        <v>95</v>
      </c>
      <c r="D41" s="16"/>
      <c r="E41" s="16"/>
      <c r="F41" s="17"/>
      <c r="G41" s="17"/>
      <c r="H41" s="17"/>
      <c r="I41" s="16"/>
      <c r="J41" s="16"/>
      <c r="K41" s="18"/>
      <c r="L41" s="16"/>
      <c r="M41" s="16"/>
      <c r="N41" s="16"/>
      <c r="O41" s="16"/>
      <c r="P41" s="16"/>
      <c r="Q41" s="16"/>
      <c r="R41" s="17"/>
      <c r="S41" s="17"/>
      <c r="T41" s="17"/>
      <c r="U41" s="17"/>
      <c r="V41" s="17"/>
      <c r="W41" s="17"/>
      <c r="X41" s="17"/>
    </row>
    <row r="42" s="3" customFormat="1" ht="18.6" customHeight="1" spans="1:24">
      <c r="A42" s="16">
        <v>51</v>
      </c>
      <c r="B42" s="16" t="s">
        <v>21</v>
      </c>
      <c r="C42" s="16" t="s">
        <v>95</v>
      </c>
      <c r="D42" s="16"/>
      <c r="E42" s="16"/>
      <c r="F42" s="17"/>
      <c r="G42" s="17"/>
      <c r="H42" s="17"/>
      <c r="I42" s="16"/>
      <c r="J42" s="16"/>
      <c r="K42" s="18"/>
      <c r="L42" s="16"/>
      <c r="M42" s="16"/>
      <c r="N42" s="16"/>
      <c r="O42" s="16"/>
      <c r="P42" s="16"/>
      <c r="Q42" s="16"/>
      <c r="R42" s="17"/>
      <c r="S42" s="17"/>
      <c r="T42" s="17"/>
      <c r="U42" s="17"/>
      <c r="V42" s="17"/>
      <c r="W42" s="17"/>
      <c r="X42" s="17"/>
    </row>
    <row r="43" s="3" customFormat="1" ht="18.6" customHeight="1" spans="1:24">
      <c r="A43" s="16">
        <v>52</v>
      </c>
      <c r="B43" s="16" t="s">
        <v>21</v>
      </c>
      <c r="C43" s="16" t="s">
        <v>95</v>
      </c>
      <c r="D43" s="16"/>
      <c r="E43" s="16"/>
      <c r="F43" s="17"/>
      <c r="G43" s="17"/>
      <c r="H43" s="17"/>
      <c r="I43" s="16"/>
      <c r="J43" s="16"/>
      <c r="K43" s="18"/>
      <c r="L43" s="16"/>
      <c r="M43" s="16"/>
      <c r="N43" s="16"/>
      <c r="O43" s="16"/>
      <c r="P43" s="16"/>
      <c r="Q43" s="24"/>
      <c r="R43" s="17"/>
      <c r="S43" s="17"/>
      <c r="T43" s="17"/>
      <c r="U43" s="17"/>
      <c r="V43" s="17"/>
      <c r="W43" s="17"/>
      <c r="X43" s="17"/>
    </row>
    <row r="44" s="3" customFormat="1" ht="18.6" customHeight="1" spans="1:24">
      <c r="A44" s="16">
        <v>53</v>
      </c>
      <c r="B44" s="16" t="s">
        <v>21</v>
      </c>
      <c r="C44" s="16" t="s">
        <v>95</v>
      </c>
      <c r="D44" s="16"/>
      <c r="E44" s="16"/>
      <c r="F44" s="17"/>
      <c r="G44" s="17"/>
      <c r="H44" s="17"/>
      <c r="I44" s="16"/>
      <c r="J44" s="16"/>
      <c r="K44" s="18"/>
      <c r="L44" s="16"/>
      <c r="M44" s="16"/>
      <c r="N44" s="16"/>
      <c r="O44" s="16"/>
      <c r="P44" s="16"/>
      <c r="Q44" s="21"/>
      <c r="R44" s="17"/>
      <c r="S44" s="17"/>
      <c r="T44" s="17"/>
      <c r="U44" s="17"/>
      <c r="V44" s="17"/>
      <c r="W44" s="17"/>
      <c r="X44" s="17"/>
    </row>
    <row r="45" s="4" customFormat="1" ht="18.6" customHeight="1" spans="1:24">
      <c r="A45" s="16">
        <v>54</v>
      </c>
      <c r="B45" s="16" t="s">
        <v>21</v>
      </c>
      <c r="C45" s="16" t="s">
        <v>95</v>
      </c>
      <c r="D45" s="16"/>
      <c r="E45" s="16"/>
      <c r="F45" s="17"/>
      <c r="G45" s="17"/>
      <c r="H45" s="17"/>
      <c r="I45" s="25"/>
      <c r="J45" s="16"/>
      <c r="K45" s="18"/>
      <c r="L45" s="18"/>
      <c r="M45" s="16"/>
      <c r="N45" s="16"/>
      <c r="O45" s="16"/>
      <c r="P45" s="16"/>
      <c r="Q45" s="26"/>
      <c r="R45" s="17"/>
      <c r="S45" s="17"/>
      <c r="T45" s="17"/>
      <c r="U45" s="17"/>
      <c r="V45" s="17"/>
      <c r="W45" s="17"/>
      <c r="X45" s="17"/>
    </row>
    <row r="46" s="4" customFormat="1" ht="18.6" customHeight="1" spans="1:24">
      <c r="A46" s="16">
        <v>55</v>
      </c>
      <c r="B46" s="16" t="s">
        <v>22</v>
      </c>
      <c r="C46" s="16" t="s">
        <v>22</v>
      </c>
      <c r="D46" s="16"/>
      <c r="E46" s="16"/>
      <c r="F46" s="17"/>
      <c r="G46" s="17"/>
      <c r="H46" s="17"/>
      <c r="I46" s="25"/>
      <c r="J46" s="16"/>
      <c r="K46" s="18"/>
      <c r="L46" s="18"/>
      <c r="M46" s="16"/>
      <c r="N46" s="16"/>
      <c r="O46" s="16"/>
      <c r="P46" s="16"/>
      <c r="Q46" s="26"/>
      <c r="R46" s="17"/>
      <c r="S46" s="17"/>
      <c r="T46" s="17"/>
      <c r="U46" s="17"/>
      <c r="V46" s="17"/>
      <c r="W46" s="17"/>
      <c r="X46" s="17"/>
    </row>
    <row r="47" s="4" customFormat="1" ht="18.6" customHeight="1" spans="1:24">
      <c r="A47" s="16">
        <v>56</v>
      </c>
      <c r="B47" s="16" t="s">
        <v>22</v>
      </c>
      <c r="C47" s="16" t="s">
        <v>22</v>
      </c>
      <c r="D47" s="16"/>
      <c r="E47" s="16"/>
      <c r="F47" s="17"/>
      <c r="G47" s="17"/>
      <c r="H47" s="17"/>
      <c r="I47" s="25"/>
      <c r="J47" s="16"/>
      <c r="K47" s="18"/>
      <c r="L47" s="16"/>
      <c r="M47" s="16"/>
      <c r="N47" s="16"/>
      <c r="O47" s="16"/>
      <c r="P47" s="16"/>
      <c r="Q47" s="25"/>
      <c r="R47" s="17"/>
      <c r="S47" s="17"/>
      <c r="T47" s="17"/>
      <c r="U47" s="17"/>
      <c r="V47" s="17"/>
      <c r="W47" s="17"/>
      <c r="X47" s="17"/>
    </row>
    <row r="48" s="4" customFormat="1" ht="18.6" customHeight="1" spans="1:24">
      <c r="A48" s="16">
        <v>57</v>
      </c>
      <c r="B48" s="16" t="s">
        <v>22</v>
      </c>
      <c r="C48" s="16" t="s">
        <v>22</v>
      </c>
      <c r="D48" s="16"/>
      <c r="E48" s="16"/>
      <c r="F48" s="17"/>
      <c r="G48" s="17"/>
      <c r="H48" s="17"/>
      <c r="I48" s="25"/>
      <c r="J48" s="16"/>
      <c r="K48" s="18"/>
      <c r="L48" s="16"/>
      <c r="M48" s="16"/>
      <c r="N48" s="16"/>
      <c r="O48" s="16"/>
      <c r="P48" s="16"/>
      <c r="Q48" s="16"/>
      <c r="R48" s="17"/>
      <c r="S48" s="17"/>
      <c r="T48" s="17"/>
      <c r="U48" s="17"/>
      <c r="V48" s="17"/>
      <c r="W48" s="17"/>
      <c r="X48" s="17"/>
    </row>
    <row r="49" s="4" customFormat="1" ht="18.6" customHeight="1" spans="1:24">
      <c r="A49" s="16">
        <v>58</v>
      </c>
      <c r="B49" s="16" t="s">
        <v>22</v>
      </c>
      <c r="C49" s="16" t="s">
        <v>22</v>
      </c>
      <c r="D49" s="16"/>
      <c r="E49" s="16"/>
      <c r="F49" s="17"/>
      <c r="G49" s="17"/>
      <c r="H49" s="17"/>
      <c r="I49" s="25"/>
      <c r="J49" s="16"/>
      <c r="K49" s="18"/>
      <c r="L49" s="16"/>
      <c r="M49" s="16"/>
      <c r="N49" s="16"/>
      <c r="O49" s="16"/>
      <c r="P49" s="16"/>
      <c r="Q49" s="16"/>
      <c r="R49" s="17"/>
      <c r="S49" s="17"/>
      <c r="T49" s="17"/>
      <c r="U49" s="17"/>
      <c r="V49" s="17"/>
      <c r="W49" s="17"/>
      <c r="X49" s="17"/>
    </row>
    <row r="50" s="4" customFormat="1" ht="18.6" customHeight="1" spans="1:24">
      <c r="A50" s="16">
        <v>59</v>
      </c>
      <c r="B50" s="16" t="s">
        <v>22</v>
      </c>
      <c r="C50" s="16" t="s">
        <v>22</v>
      </c>
      <c r="D50" s="16"/>
      <c r="E50" s="16"/>
      <c r="F50" s="17"/>
      <c r="G50" s="17"/>
      <c r="H50" s="17"/>
      <c r="I50" s="25"/>
      <c r="J50" s="16"/>
      <c r="K50" s="18"/>
      <c r="L50" s="16"/>
      <c r="M50" s="16"/>
      <c r="N50" s="16"/>
      <c r="O50" s="16"/>
      <c r="P50" s="16"/>
      <c r="Q50" s="16"/>
      <c r="R50" s="17"/>
      <c r="S50" s="17"/>
      <c r="T50" s="17"/>
      <c r="U50" s="17"/>
      <c r="V50" s="17"/>
      <c r="W50" s="17"/>
      <c r="X50" s="17"/>
    </row>
    <row r="51" s="4" customFormat="1" ht="18.6" customHeight="1" spans="1:24">
      <c r="A51" s="16">
        <v>60</v>
      </c>
      <c r="B51" s="16" t="s">
        <v>22</v>
      </c>
      <c r="C51" s="16" t="s">
        <v>22</v>
      </c>
      <c r="D51" s="16"/>
      <c r="E51" s="16"/>
      <c r="F51" s="17"/>
      <c r="G51" s="17"/>
      <c r="H51" s="17"/>
      <c r="I51" s="25"/>
      <c r="J51" s="16"/>
      <c r="K51" s="18"/>
      <c r="L51" s="16"/>
      <c r="M51" s="16"/>
      <c r="N51" s="16"/>
      <c r="O51" s="16"/>
      <c r="P51" s="16"/>
      <c r="Q51" s="16"/>
      <c r="R51" s="17"/>
      <c r="S51" s="17"/>
      <c r="T51" s="17"/>
      <c r="U51" s="17"/>
      <c r="V51" s="17"/>
      <c r="W51" s="17"/>
      <c r="X51" s="17"/>
    </row>
    <row r="52" s="4" customFormat="1" ht="18.6" customHeight="1" spans="1:24">
      <c r="A52" s="16">
        <v>61</v>
      </c>
      <c r="B52" s="16" t="s">
        <v>22</v>
      </c>
      <c r="C52" s="16" t="s">
        <v>22</v>
      </c>
      <c r="D52" s="16"/>
      <c r="E52" s="16"/>
      <c r="F52" s="17"/>
      <c r="G52" s="17"/>
      <c r="H52" s="17"/>
      <c r="I52" s="25"/>
      <c r="J52" s="16"/>
      <c r="K52" s="18"/>
      <c r="L52" s="16"/>
      <c r="M52" s="16"/>
      <c r="N52" s="16"/>
      <c r="O52" s="16"/>
      <c r="P52" s="16"/>
      <c r="Q52" s="16"/>
      <c r="R52" s="17"/>
      <c r="S52" s="17"/>
      <c r="T52" s="17"/>
      <c r="U52" s="17"/>
      <c r="V52" s="17"/>
      <c r="W52" s="17"/>
      <c r="X52" s="17"/>
    </row>
    <row r="53" s="4" customFormat="1" ht="18.6" customHeight="1" spans="1:24">
      <c r="A53" s="16">
        <v>62</v>
      </c>
      <c r="B53" s="16" t="s">
        <v>22</v>
      </c>
      <c r="C53" s="16" t="s">
        <v>22</v>
      </c>
      <c r="D53" s="16"/>
      <c r="E53" s="16"/>
      <c r="F53" s="17"/>
      <c r="G53" s="17"/>
      <c r="H53" s="17"/>
      <c r="I53" s="25"/>
      <c r="J53" s="16"/>
      <c r="K53" s="18"/>
      <c r="L53" s="16"/>
      <c r="M53" s="16"/>
      <c r="N53" s="16"/>
      <c r="O53" s="16"/>
      <c r="P53" s="16"/>
      <c r="Q53" s="16"/>
      <c r="R53" s="17"/>
      <c r="S53" s="17"/>
      <c r="T53" s="17"/>
      <c r="U53" s="17"/>
      <c r="V53" s="17"/>
      <c r="W53" s="17"/>
      <c r="X53" s="17"/>
    </row>
    <row r="54" s="4" customFormat="1" ht="18.6" customHeight="1" spans="1:24">
      <c r="A54" s="16">
        <v>63</v>
      </c>
      <c r="B54" s="16" t="s">
        <v>22</v>
      </c>
      <c r="C54" s="16" t="s">
        <v>22</v>
      </c>
      <c r="D54" s="16"/>
      <c r="E54" s="16"/>
      <c r="F54" s="17"/>
      <c r="G54" s="17"/>
      <c r="H54" s="17"/>
      <c r="I54" s="25"/>
      <c r="J54" s="16"/>
      <c r="K54" s="18"/>
      <c r="L54" s="16"/>
      <c r="M54" s="16"/>
      <c r="N54" s="16"/>
      <c r="O54" s="16"/>
      <c r="P54" s="16"/>
      <c r="Q54" s="16"/>
      <c r="R54" s="17"/>
      <c r="S54" s="17"/>
      <c r="T54" s="17"/>
      <c r="U54" s="17"/>
      <c r="V54" s="17"/>
      <c r="W54" s="17"/>
      <c r="X54" s="17"/>
    </row>
    <row r="55" s="4" customFormat="1" ht="18.6" customHeight="1" spans="1:24">
      <c r="A55" s="16">
        <v>64</v>
      </c>
      <c r="B55" s="16" t="s">
        <v>22</v>
      </c>
      <c r="C55" s="16" t="s">
        <v>22</v>
      </c>
      <c r="D55" s="16"/>
      <c r="E55" s="16"/>
      <c r="F55" s="17"/>
      <c r="G55" s="17"/>
      <c r="H55" s="17"/>
      <c r="I55" s="25"/>
      <c r="J55" s="16"/>
      <c r="K55" s="18"/>
      <c r="L55" s="16"/>
      <c r="M55" s="16"/>
      <c r="N55" s="16"/>
      <c r="O55" s="16"/>
      <c r="P55" s="16"/>
      <c r="Q55" s="16"/>
      <c r="R55" s="17"/>
      <c r="S55" s="17"/>
      <c r="T55" s="17"/>
      <c r="U55" s="17"/>
      <c r="V55" s="17"/>
      <c r="W55" s="17"/>
      <c r="X55" s="17"/>
    </row>
    <row r="56" s="4" customFormat="1" ht="18.6" customHeight="1" spans="1:24">
      <c r="A56" s="16">
        <v>65</v>
      </c>
      <c r="B56" s="16" t="s">
        <v>22</v>
      </c>
      <c r="C56" s="16" t="s">
        <v>22</v>
      </c>
      <c r="D56" s="16"/>
      <c r="E56" s="16"/>
      <c r="F56" s="17"/>
      <c r="G56" s="17"/>
      <c r="H56" s="17"/>
      <c r="I56" s="25"/>
      <c r="J56" s="16"/>
      <c r="K56" s="18"/>
      <c r="L56" s="16"/>
      <c r="M56" s="16"/>
      <c r="N56" s="16"/>
      <c r="O56" s="16"/>
      <c r="P56" s="16"/>
      <c r="Q56" s="16"/>
      <c r="R56" s="17"/>
      <c r="S56" s="17"/>
      <c r="T56" s="17"/>
      <c r="U56" s="17"/>
      <c r="V56" s="17"/>
      <c r="W56" s="17"/>
      <c r="X56" s="17"/>
    </row>
    <row r="57" s="4" customFormat="1" ht="18.6" customHeight="1" spans="1:24">
      <c r="A57" s="16">
        <v>66</v>
      </c>
      <c r="B57" s="16" t="s">
        <v>22</v>
      </c>
      <c r="C57" s="16" t="s">
        <v>96</v>
      </c>
      <c r="D57" s="16"/>
      <c r="E57" s="16"/>
      <c r="F57" s="17"/>
      <c r="G57" s="17"/>
      <c r="H57" s="17"/>
      <c r="I57" s="25"/>
      <c r="J57" s="16"/>
      <c r="K57" s="18"/>
      <c r="L57" s="16"/>
      <c r="M57" s="16"/>
      <c r="N57" s="16"/>
      <c r="O57" s="16"/>
      <c r="P57" s="16"/>
      <c r="Q57" s="16"/>
      <c r="R57" s="17"/>
      <c r="S57" s="17"/>
      <c r="T57" s="17"/>
      <c r="U57" s="17"/>
      <c r="V57" s="17"/>
      <c r="W57" s="17"/>
      <c r="X57" s="17"/>
    </row>
    <row r="58" s="4" customFormat="1" ht="18.6" customHeight="1" spans="1:24">
      <c r="A58" s="16">
        <v>67</v>
      </c>
      <c r="B58" s="16" t="s">
        <v>22</v>
      </c>
      <c r="C58" s="16" t="s">
        <v>22</v>
      </c>
      <c r="D58" s="16"/>
      <c r="E58" s="16"/>
      <c r="F58" s="17"/>
      <c r="G58" s="17"/>
      <c r="H58" s="17"/>
      <c r="I58" s="16"/>
      <c r="J58" s="16"/>
      <c r="K58" s="18"/>
      <c r="L58" s="16"/>
      <c r="M58" s="16"/>
      <c r="N58" s="16"/>
      <c r="O58" s="16"/>
      <c r="P58" s="16"/>
      <c r="Q58" s="16"/>
      <c r="R58" s="17"/>
      <c r="S58" s="17"/>
      <c r="T58" s="17"/>
      <c r="U58" s="17"/>
      <c r="V58" s="17"/>
      <c r="W58" s="17"/>
      <c r="X58" s="17"/>
    </row>
    <row r="59" s="4" customFormat="1" ht="18.6" customHeight="1" spans="1:24">
      <c r="A59" s="16">
        <v>68</v>
      </c>
      <c r="B59" s="17" t="s">
        <v>22</v>
      </c>
      <c r="C59" s="17" t="s">
        <v>97</v>
      </c>
      <c r="D59" s="17"/>
      <c r="E59" s="17"/>
      <c r="F59" s="17"/>
      <c r="G59" s="17"/>
      <c r="H59" s="17"/>
      <c r="I59" s="27"/>
      <c r="J59" s="17"/>
      <c r="K59" s="18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</row>
    <row r="60" s="4" customFormat="1" ht="18.6" customHeight="1" spans="1:24">
      <c r="A60" s="16">
        <v>69</v>
      </c>
      <c r="B60" s="17" t="s">
        <v>22</v>
      </c>
      <c r="C60" s="17" t="s">
        <v>97</v>
      </c>
      <c r="D60" s="17"/>
      <c r="E60" s="17"/>
      <c r="F60" s="17"/>
      <c r="G60" s="17"/>
      <c r="H60" s="17"/>
      <c r="I60" s="27"/>
      <c r="J60" s="17"/>
      <c r="K60" s="18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</row>
    <row r="61" s="4" customFormat="1" ht="18.6" customHeight="1" spans="1:24">
      <c r="A61" s="16">
        <v>70</v>
      </c>
      <c r="B61" s="17" t="s">
        <v>22</v>
      </c>
      <c r="C61" s="17" t="s">
        <v>97</v>
      </c>
      <c r="D61" s="17"/>
      <c r="E61" s="17"/>
      <c r="F61" s="17"/>
      <c r="G61" s="17"/>
      <c r="H61" s="17"/>
      <c r="I61" s="27"/>
      <c r="J61" s="17"/>
      <c r="K61" s="18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</row>
    <row r="62" s="4" customFormat="1" ht="18.6" customHeight="1" spans="1:24">
      <c r="A62" s="16">
        <v>71</v>
      </c>
      <c r="B62" s="17" t="s">
        <v>22</v>
      </c>
      <c r="C62" s="17" t="s">
        <v>97</v>
      </c>
      <c r="D62" s="17"/>
      <c r="E62" s="17"/>
      <c r="F62" s="17"/>
      <c r="G62" s="17"/>
      <c r="H62" s="17"/>
      <c r="I62" s="27"/>
      <c r="J62" s="17"/>
      <c r="K62" s="18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</row>
    <row r="63" s="4" customFormat="1" ht="18.6" customHeight="1" spans="1:24">
      <c r="A63" s="16">
        <v>72</v>
      </c>
      <c r="B63" s="16" t="s">
        <v>22</v>
      </c>
      <c r="C63" s="16" t="s">
        <v>40</v>
      </c>
      <c r="D63" s="16"/>
      <c r="E63" s="16"/>
      <c r="F63" s="17"/>
      <c r="G63" s="17"/>
      <c r="H63" s="17"/>
      <c r="I63" s="16"/>
      <c r="J63" s="16"/>
      <c r="K63" s="18"/>
      <c r="L63" s="16"/>
      <c r="M63" s="16"/>
      <c r="N63" s="16"/>
      <c r="O63" s="16"/>
      <c r="P63" s="16"/>
      <c r="Q63" s="16"/>
      <c r="R63" s="17"/>
      <c r="S63" s="17"/>
      <c r="T63" s="17"/>
      <c r="U63" s="17"/>
      <c r="V63" s="17"/>
      <c r="W63" s="17"/>
      <c r="X63" s="17"/>
    </row>
    <row r="64" s="4" customFormat="1" ht="18.6" customHeight="1" spans="1:24">
      <c r="A64" s="16">
        <v>73</v>
      </c>
      <c r="B64" s="16" t="s">
        <v>22</v>
      </c>
      <c r="C64" s="16" t="s">
        <v>40</v>
      </c>
      <c r="D64" s="16"/>
      <c r="E64" s="16"/>
      <c r="F64" s="17"/>
      <c r="G64" s="17"/>
      <c r="H64" s="17"/>
      <c r="I64" s="16"/>
      <c r="J64" s="16"/>
      <c r="K64" s="18"/>
      <c r="L64" s="16"/>
      <c r="M64" s="18"/>
      <c r="N64" s="16"/>
      <c r="O64" s="16"/>
      <c r="P64" s="16"/>
      <c r="Q64" s="16"/>
      <c r="R64" s="17"/>
      <c r="S64" s="17"/>
      <c r="T64" s="17"/>
      <c r="U64" s="17"/>
      <c r="V64" s="17"/>
      <c r="W64" s="17"/>
      <c r="X64" s="17"/>
    </row>
    <row r="65" s="4" customFormat="1" ht="18.6" customHeight="1" spans="1:24">
      <c r="A65" s="16">
        <v>74</v>
      </c>
      <c r="B65" s="16" t="s">
        <v>22</v>
      </c>
      <c r="C65" s="16" t="s">
        <v>40</v>
      </c>
      <c r="D65" s="16"/>
      <c r="E65" s="16"/>
      <c r="F65" s="17"/>
      <c r="G65" s="17"/>
      <c r="H65" s="17"/>
      <c r="I65" s="16"/>
      <c r="J65" s="16"/>
      <c r="K65" s="18"/>
      <c r="L65" s="16"/>
      <c r="M65" s="16"/>
      <c r="N65" s="16"/>
      <c r="O65" s="16"/>
      <c r="P65" s="16"/>
      <c r="Q65" s="16"/>
      <c r="R65" s="17"/>
      <c r="S65" s="17"/>
      <c r="T65" s="17"/>
      <c r="U65" s="17"/>
      <c r="V65" s="17"/>
      <c r="W65" s="17"/>
      <c r="X65" s="17"/>
    </row>
    <row r="66" s="4" customFormat="1" ht="18.6" customHeight="1" spans="1:24">
      <c r="A66" s="16">
        <v>75</v>
      </c>
      <c r="B66" s="16" t="s">
        <v>22</v>
      </c>
      <c r="C66" s="17" t="s">
        <v>40</v>
      </c>
      <c r="D66" s="17"/>
      <c r="E66" s="17"/>
      <c r="F66" s="17"/>
      <c r="G66" s="17"/>
      <c r="H66" s="17"/>
      <c r="I66" s="17"/>
      <c r="J66" s="17"/>
      <c r="K66" s="18"/>
      <c r="L66" s="17"/>
      <c r="M66" s="17"/>
      <c r="N66" s="16"/>
      <c r="O66" s="16"/>
      <c r="P66" s="16"/>
      <c r="Q66" s="28"/>
      <c r="R66" s="17"/>
      <c r="S66" s="17"/>
      <c r="T66" s="17"/>
      <c r="U66" s="17"/>
      <c r="V66" s="17"/>
      <c r="W66" s="17"/>
      <c r="X66" s="17"/>
    </row>
    <row r="67" s="4" customFormat="1" ht="18.6" customHeight="1" spans="1:24">
      <c r="A67" s="16">
        <v>76</v>
      </c>
      <c r="B67" s="16" t="s">
        <v>22</v>
      </c>
      <c r="C67" s="16" t="s">
        <v>98</v>
      </c>
      <c r="D67" s="16"/>
      <c r="E67" s="16"/>
      <c r="F67" s="17"/>
      <c r="G67" s="17"/>
      <c r="H67" s="17"/>
      <c r="I67" s="16"/>
      <c r="J67" s="16"/>
      <c r="K67" s="18"/>
      <c r="L67" s="16"/>
      <c r="M67" s="16"/>
      <c r="N67" s="16"/>
      <c r="O67" s="16"/>
      <c r="P67" s="16"/>
      <c r="Q67" s="16"/>
      <c r="R67" s="17"/>
      <c r="S67" s="17"/>
      <c r="T67" s="17"/>
      <c r="U67" s="17"/>
      <c r="V67" s="17"/>
      <c r="W67" s="17"/>
      <c r="X67" s="17"/>
    </row>
    <row r="68" s="4" customFormat="1" ht="18.6" customHeight="1" spans="1:24">
      <c r="A68" s="16">
        <v>77</v>
      </c>
      <c r="B68" s="16" t="s">
        <v>22</v>
      </c>
      <c r="C68" s="16" t="s">
        <v>41</v>
      </c>
      <c r="D68" s="16"/>
      <c r="E68" s="16"/>
      <c r="F68" s="17"/>
      <c r="G68" s="17"/>
      <c r="H68" s="17"/>
      <c r="I68" s="16"/>
      <c r="J68" s="16"/>
      <c r="K68" s="18"/>
      <c r="L68" s="16"/>
      <c r="M68" s="16"/>
      <c r="N68" s="16"/>
      <c r="O68" s="16"/>
      <c r="P68" s="16"/>
      <c r="Q68" s="16"/>
      <c r="R68" s="17"/>
      <c r="S68" s="17"/>
      <c r="T68" s="17"/>
      <c r="U68" s="17"/>
      <c r="V68" s="17"/>
      <c r="W68" s="17"/>
      <c r="X68" s="17"/>
    </row>
    <row r="69" s="4" customFormat="1" ht="18.6" customHeight="1" spans="1:24">
      <c r="A69" s="16">
        <v>78</v>
      </c>
      <c r="B69" s="16" t="s">
        <v>22</v>
      </c>
      <c r="C69" s="16" t="s">
        <v>41</v>
      </c>
      <c r="D69" s="16"/>
      <c r="E69" s="16"/>
      <c r="F69" s="17"/>
      <c r="G69" s="17"/>
      <c r="H69" s="17"/>
      <c r="I69" s="16"/>
      <c r="J69" s="16"/>
      <c r="K69" s="18"/>
      <c r="L69" s="16"/>
      <c r="M69" s="16"/>
      <c r="N69" s="16"/>
      <c r="O69" s="16"/>
      <c r="P69" s="16"/>
      <c r="Q69" s="16"/>
      <c r="R69" s="17"/>
      <c r="S69" s="17"/>
      <c r="T69" s="17"/>
      <c r="U69" s="17"/>
      <c r="V69" s="17"/>
      <c r="W69" s="17"/>
      <c r="X69" s="17"/>
    </row>
    <row r="70" s="4" customFormat="1" ht="18.6" customHeight="1" spans="1:24">
      <c r="A70" s="16">
        <v>79</v>
      </c>
      <c r="B70" s="16" t="s">
        <v>22</v>
      </c>
      <c r="C70" s="16" t="s">
        <v>41</v>
      </c>
      <c r="D70" s="16"/>
      <c r="E70" s="16"/>
      <c r="F70" s="17"/>
      <c r="G70" s="17"/>
      <c r="H70" s="17"/>
      <c r="I70" s="16"/>
      <c r="J70" s="16"/>
      <c r="K70" s="18"/>
      <c r="L70" s="16"/>
      <c r="M70" s="16"/>
      <c r="N70" s="16"/>
      <c r="O70" s="16"/>
      <c r="P70" s="16"/>
      <c r="Q70" s="16"/>
      <c r="R70" s="17"/>
      <c r="S70" s="17"/>
      <c r="T70" s="17"/>
      <c r="U70" s="17"/>
      <c r="V70" s="17"/>
      <c r="W70" s="17"/>
      <c r="X70" s="17"/>
    </row>
    <row r="71" s="4" customFormat="1" ht="18.6" customHeight="1" spans="1:24">
      <c r="A71" s="16">
        <v>80</v>
      </c>
      <c r="B71" s="17" t="s">
        <v>22</v>
      </c>
      <c r="C71" s="17" t="s">
        <v>41</v>
      </c>
      <c r="D71" s="17"/>
      <c r="E71" s="17"/>
      <c r="F71" s="17"/>
      <c r="G71" s="17"/>
      <c r="H71" s="17"/>
      <c r="I71" s="17"/>
      <c r="J71" s="17"/>
      <c r="K71" s="18"/>
      <c r="L71" s="17"/>
      <c r="M71" s="17"/>
      <c r="N71" s="17"/>
      <c r="O71" s="17"/>
      <c r="P71" s="17"/>
      <c r="Q71" s="23"/>
      <c r="R71" s="17"/>
      <c r="S71" s="17"/>
      <c r="T71" s="17"/>
      <c r="U71" s="17"/>
      <c r="V71" s="17"/>
      <c r="W71" s="17"/>
      <c r="X71" s="17"/>
    </row>
    <row r="72" s="4" customFormat="1" ht="18.6" customHeight="1" spans="1:24">
      <c r="A72" s="16">
        <v>81</v>
      </c>
      <c r="B72" s="17" t="s">
        <v>22</v>
      </c>
      <c r="C72" s="17" t="s">
        <v>41</v>
      </c>
      <c r="D72" s="17"/>
      <c r="E72" s="17"/>
      <c r="F72" s="17"/>
      <c r="G72" s="17"/>
      <c r="H72" s="17"/>
      <c r="I72" s="17"/>
      <c r="J72" s="17"/>
      <c r="K72" s="18"/>
      <c r="L72" s="17"/>
      <c r="M72" s="17"/>
      <c r="N72" s="17"/>
      <c r="O72" s="17"/>
      <c r="P72" s="17"/>
      <c r="Q72" s="23"/>
      <c r="R72" s="17"/>
      <c r="S72" s="17"/>
      <c r="T72" s="17"/>
      <c r="U72" s="17"/>
      <c r="V72" s="17"/>
      <c r="W72" s="17"/>
      <c r="X72" s="17"/>
    </row>
    <row r="73" s="4" customFormat="1" ht="18.6" customHeight="1" spans="1:24">
      <c r="A73" s="16">
        <v>82</v>
      </c>
      <c r="B73" s="17" t="s">
        <v>22</v>
      </c>
      <c r="C73" s="17" t="s">
        <v>41</v>
      </c>
      <c r="D73" s="17"/>
      <c r="E73" s="17"/>
      <c r="F73" s="17"/>
      <c r="G73" s="17"/>
      <c r="H73" s="17"/>
      <c r="I73" s="17"/>
      <c r="J73" s="17"/>
      <c r="K73" s="18"/>
      <c r="L73" s="17"/>
      <c r="M73" s="17"/>
      <c r="N73" s="17"/>
      <c r="O73" s="17"/>
      <c r="P73" s="17"/>
      <c r="Q73" s="23"/>
      <c r="R73" s="17"/>
      <c r="S73" s="17"/>
      <c r="T73" s="17"/>
      <c r="U73" s="17"/>
      <c r="V73" s="17"/>
      <c r="W73" s="17"/>
      <c r="X73" s="17"/>
    </row>
    <row r="74" s="4" customFormat="1" ht="18.6" customHeight="1" spans="1:24">
      <c r="A74" s="16">
        <v>83</v>
      </c>
      <c r="B74" s="17" t="s">
        <v>22</v>
      </c>
      <c r="C74" s="17" t="s">
        <v>41</v>
      </c>
      <c r="D74" s="17"/>
      <c r="E74" s="17"/>
      <c r="F74" s="17"/>
      <c r="G74" s="17"/>
      <c r="H74" s="17"/>
      <c r="I74" s="17"/>
      <c r="J74" s="17"/>
      <c r="K74" s="18"/>
      <c r="L74" s="17"/>
      <c r="M74" s="17"/>
      <c r="N74" s="17"/>
      <c r="O74" s="17"/>
      <c r="P74" s="17"/>
      <c r="Q74" s="23"/>
      <c r="R74" s="17"/>
      <c r="S74" s="17"/>
      <c r="T74" s="17"/>
      <c r="U74" s="17"/>
      <c r="V74" s="17"/>
      <c r="W74" s="17"/>
      <c r="X74" s="17"/>
    </row>
    <row r="75" s="4" customFormat="1" ht="18.6" customHeight="1" spans="1:24">
      <c r="A75" s="16">
        <v>84</v>
      </c>
      <c r="B75" s="16" t="s">
        <v>22</v>
      </c>
      <c r="C75" s="16" t="s">
        <v>41</v>
      </c>
      <c r="D75" s="16"/>
      <c r="E75" s="16"/>
      <c r="F75" s="17"/>
      <c r="G75" s="17"/>
      <c r="H75" s="17"/>
      <c r="I75" s="16"/>
      <c r="J75" s="16"/>
      <c r="K75" s="18"/>
      <c r="L75" s="16"/>
      <c r="M75" s="16"/>
      <c r="N75" s="16"/>
      <c r="O75" s="16"/>
      <c r="P75" s="16"/>
      <c r="Q75" s="16"/>
      <c r="R75" s="17"/>
      <c r="S75" s="17"/>
      <c r="T75" s="17"/>
      <c r="U75" s="17"/>
      <c r="V75" s="17"/>
      <c r="W75" s="17"/>
      <c r="X75" s="17"/>
    </row>
    <row r="76" s="4" customFormat="1" ht="18.6" customHeight="1" spans="1:24">
      <c r="A76" s="16">
        <v>85</v>
      </c>
      <c r="B76" s="17" t="s">
        <v>22</v>
      </c>
      <c r="C76" s="17" t="s">
        <v>41</v>
      </c>
      <c r="D76" s="17"/>
      <c r="E76" s="17"/>
      <c r="F76" s="17"/>
      <c r="G76" s="17"/>
      <c r="H76" s="17"/>
      <c r="I76" s="17"/>
      <c r="J76" s="17"/>
      <c r="K76" s="18"/>
      <c r="L76" s="17"/>
      <c r="M76" s="17"/>
      <c r="N76" s="17"/>
      <c r="O76" s="17"/>
      <c r="P76" s="17"/>
      <c r="Q76" s="23"/>
      <c r="R76" s="17"/>
      <c r="S76" s="17"/>
      <c r="T76" s="17"/>
      <c r="U76" s="17"/>
      <c r="V76" s="17"/>
      <c r="W76" s="17"/>
      <c r="X76" s="17"/>
    </row>
    <row r="77" s="4" customFormat="1" ht="18.6" customHeight="1" spans="1:24">
      <c r="A77" s="16">
        <v>86</v>
      </c>
      <c r="B77" s="16" t="s">
        <v>22</v>
      </c>
      <c r="C77" s="16" t="s">
        <v>41</v>
      </c>
      <c r="D77" s="16"/>
      <c r="E77" s="16"/>
      <c r="F77" s="17"/>
      <c r="G77" s="17"/>
      <c r="H77" s="17"/>
      <c r="I77" s="16"/>
      <c r="J77" s="16"/>
      <c r="K77" s="18"/>
      <c r="L77" s="16"/>
      <c r="M77" s="16"/>
      <c r="N77" s="16"/>
      <c r="O77" s="16"/>
      <c r="P77" s="16"/>
      <c r="Q77" s="16"/>
      <c r="R77" s="17"/>
      <c r="S77" s="17"/>
      <c r="T77" s="17"/>
      <c r="U77" s="17"/>
      <c r="V77" s="17"/>
      <c r="W77" s="17"/>
      <c r="X77" s="17"/>
    </row>
    <row r="78" s="4" customFormat="1" ht="18.6" customHeight="1" spans="1:24">
      <c r="A78" s="16">
        <v>87</v>
      </c>
      <c r="B78" s="17" t="s">
        <v>22</v>
      </c>
      <c r="C78" s="17" t="s">
        <v>41</v>
      </c>
      <c r="D78" s="17"/>
      <c r="E78" s="17"/>
      <c r="F78" s="17"/>
      <c r="G78" s="17"/>
      <c r="H78" s="17"/>
      <c r="I78" s="17"/>
      <c r="J78" s="17"/>
      <c r="K78" s="18"/>
      <c r="L78" s="17"/>
      <c r="M78" s="17"/>
      <c r="N78" s="17"/>
      <c r="O78" s="17"/>
      <c r="P78" s="17"/>
      <c r="Q78" s="23"/>
      <c r="R78" s="17"/>
      <c r="S78" s="17"/>
      <c r="T78" s="17"/>
      <c r="U78" s="17"/>
      <c r="V78" s="17"/>
      <c r="W78" s="17"/>
      <c r="X78" s="17"/>
    </row>
    <row r="79" s="4" customFormat="1" ht="18.6" customHeight="1" spans="1:24">
      <c r="A79" s="16">
        <v>88</v>
      </c>
      <c r="B79" s="17" t="s">
        <v>22</v>
      </c>
      <c r="C79" s="17" t="s">
        <v>43</v>
      </c>
      <c r="D79" s="17"/>
      <c r="E79" s="17"/>
      <c r="F79" s="17"/>
      <c r="G79" s="17"/>
      <c r="H79" s="17"/>
      <c r="I79" s="17"/>
      <c r="J79" s="17"/>
      <c r="K79" s="18"/>
      <c r="L79" s="17"/>
      <c r="M79" s="17"/>
      <c r="N79" s="18"/>
      <c r="O79" s="18"/>
      <c r="P79" s="18"/>
      <c r="Q79" s="23"/>
      <c r="R79" s="17"/>
      <c r="S79" s="17"/>
      <c r="T79" s="17"/>
      <c r="U79" s="17"/>
      <c r="V79" s="17"/>
      <c r="W79" s="17"/>
      <c r="X79" s="17"/>
    </row>
    <row r="80" s="4" customFormat="1" ht="18.6" customHeight="1" spans="1:24">
      <c r="A80" s="16">
        <v>89</v>
      </c>
      <c r="B80" s="17" t="s">
        <v>22</v>
      </c>
      <c r="C80" s="17" t="s">
        <v>43</v>
      </c>
      <c r="D80" s="17"/>
      <c r="E80" s="17"/>
      <c r="F80" s="17"/>
      <c r="G80" s="17"/>
      <c r="H80" s="17"/>
      <c r="I80" s="17"/>
      <c r="J80" s="17"/>
      <c r="K80" s="18"/>
      <c r="L80" s="17"/>
      <c r="M80" s="17"/>
      <c r="N80" s="18"/>
      <c r="O80" s="18"/>
      <c r="P80" s="18"/>
      <c r="Q80" s="23"/>
      <c r="R80" s="17"/>
      <c r="S80" s="17"/>
      <c r="T80" s="17"/>
      <c r="U80" s="17"/>
      <c r="V80" s="17"/>
      <c r="W80" s="17"/>
      <c r="X80" s="17"/>
    </row>
    <row r="81" s="4" customFormat="1" ht="18.6" customHeight="1" spans="1:24">
      <c r="A81" s="16">
        <v>90</v>
      </c>
      <c r="B81" s="17" t="s">
        <v>22</v>
      </c>
      <c r="C81" s="17" t="s">
        <v>43</v>
      </c>
      <c r="D81" s="17"/>
      <c r="E81" s="17"/>
      <c r="F81" s="17"/>
      <c r="G81" s="17"/>
      <c r="H81" s="17"/>
      <c r="I81" s="17"/>
      <c r="J81" s="17"/>
      <c r="K81" s="18"/>
      <c r="L81" s="17"/>
      <c r="M81" s="17"/>
      <c r="N81" s="17"/>
      <c r="O81" s="17"/>
      <c r="P81" s="17"/>
      <c r="Q81" s="23"/>
      <c r="R81" s="17"/>
      <c r="S81" s="17"/>
      <c r="T81" s="17"/>
      <c r="U81" s="17"/>
      <c r="V81" s="17"/>
      <c r="W81" s="17"/>
      <c r="X81" s="17"/>
    </row>
    <row r="82" s="4" customFormat="1" ht="18.6" customHeight="1" spans="1:24">
      <c r="A82" s="16">
        <v>91</v>
      </c>
      <c r="B82" s="16" t="s">
        <v>22</v>
      </c>
      <c r="C82" s="17" t="s">
        <v>43</v>
      </c>
      <c r="D82" s="16"/>
      <c r="E82" s="16"/>
      <c r="F82" s="17"/>
      <c r="G82" s="17"/>
      <c r="H82" s="17"/>
      <c r="I82" s="16"/>
      <c r="J82" s="16"/>
      <c r="K82" s="18"/>
      <c r="L82" s="16"/>
      <c r="M82" s="16"/>
      <c r="N82" s="16"/>
      <c r="O82" s="16"/>
      <c r="P82" s="16"/>
      <c r="Q82" s="16"/>
      <c r="R82" s="17"/>
      <c r="S82" s="17"/>
      <c r="T82" s="17"/>
      <c r="U82" s="17"/>
      <c r="V82" s="17"/>
      <c r="W82" s="17"/>
      <c r="X82" s="17"/>
    </row>
    <row r="83" s="4" customFormat="1" ht="18.6" customHeight="1" spans="1:24">
      <c r="A83" s="16">
        <v>92</v>
      </c>
      <c r="B83" s="16" t="s">
        <v>22</v>
      </c>
      <c r="C83" s="17" t="s">
        <v>43</v>
      </c>
      <c r="D83" s="16"/>
      <c r="E83" s="16"/>
      <c r="F83" s="17"/>
      <c r="G83" s="17"/>
      <c r="H83" s="17"/>
      <c r="I83" s="16"/>
      <c r="J83" s="16"/>
      <c r="K83" s="18"/>
      <c r="L83" s="16"/>
      <c r="M83" s="16"/>
      <c r="N83" s="16"/>
      <c r="O83" s="16"/>
      <c r="P83" s="16"/>
      <c r="Q83" s="16"/>
      <c r="R83" s="17"/>
      <c r="S83" s="17"/>
      <c r="T83" s="17"/>
      <c r="U83" s="17"/>
      <c r="V83" s="17"/>
      <c r="W83" s="17"/>
      <c r="X83" s="17"/>
    </row>
    <row r="84" s="4" customFormat="1" ht="18.6" customHeight="1" spans="1:24">
      <c r="A84" s="16">
        <v>93</v>
      </c>
      <c r="B84" s="16" t="s">
        <v>22</v>
      </c>
      <c r="C84" s="17" t="s">
        <v>43</v>
      </c>
      <c r="D84" s="16"/>
      <c r="E84" s="16"/>
      <c r="F84" s="17"/>
      <c r="G84" s="17"/>
      <c r="H84" s="17"/>
      <c r="I84" s="16"/>
      <c r="J84" s="16"/>
      <c r="K84" s="18"/>
      <c r="L84" s="16"/>
      <c r="M84" s="16"/>
      <c r="N84" s="16"/>
      <c r="O84" s="16"/>
      <c r="P84" s="16"/>
      <c r="Q84" s="16"/>
      <c r="R84" s="17"/>
      <c r="S84" s="17"/>
      <c r="T84" s="17"/>
      <c r="U84" s="17"/>
      <c r="V84" s="17"/>
      <c r="W84" s="17"/>
      <c r="X84" s="17"/>
    </row>
    <row r="85" s="4" customFormat="1" ht="18.6" customHeight="1" spans="1:24">
      <c r="A85" s="16">
        <v>94</v>
      </c>
      <c r="B85" s="17" t="s">
        <v>22</v>
      </c>
      <c r="C85" s="17" t="s">
        <v>43</v>
      </c>
      <c r="D85" s="17"/>
      <c r="E85" s="17"/>
      <c r="F85" s="17"/>
      <c r="G85" s="17"/>
      <c r="H85" s="17"/>
      <c r="I85" s="17"/>
      <c r="J85" s="17"/>
      <c r="K85" s="18"/>
      <c r="L85" s="17"/>
      <c r="M85" s="17"/>
      <c r="N85" s="17"/>
      <c r="O85" s="17"/>
      <c r="P85" s="17"/>
      <c r="Q85" s="23"/>
      <c r="R85" s="17"/>
      <c r="S85" s="17"/>
      <c r="T85" s="17"/>
      <c r="U85" s="17"/>
      <c r="V85" s="17"/>
      <c r="W85" s="17"/>
      <c r="X85" s="17"/>
    </row>
    <row r="86" s="4" customFormat="1" ht="18.6" customHeight="1" spans="1:24">
      <c r="A86" s="16">
        <v>95</v>
      </c>
      <c r="B86" s="17" t="s">
        <v>22</v>
      </c>
      <c r="C86" s="17" t="s">
        <v>43</v>
      </c>
      <c r="D86" s="17"/>
      <c r="E86" s="17"/>
      <c r="F86" s="17"/>
      <c r="G86" s="17"/>
      <c r="H86" s="17"/>
      <c r="I86" s="17"/>
      <c r="J86" s="17"/>
      <c r="K86" s="18"/>
      <c r="L86" s="17"/>
      <c r="M86" s="17"/>
      <c r="N86" s="17"/>
      <c r="O86" s="17"/>
      <c r="P86" s="17"/>
      <c r="Q86" s="23"/>
      <c r="R86" s="17"/>
      <c r="S86" s="17"/>
      <c r="T86" s="17"/>
      <c r="U86" s="17"/>
      <c r="V86" s="17"/>
      <c r="W86" s="17"/>
      <c r="X86" s="17"/>
    </row>
    <row r="87" s="4" customFormat="1" ht="18.6" customHeight="1" spans="1:24">
      <c r="A87" s="16">
        <v>96</v>
      </c>
      <c r="B87" s="16" t="s">
        <v>22</v>
      </c>
      <c r="C87" s="17" t="s">
        <v>43</v>
      </c>
      <c r="D87" s="16"/>
      <c r="E87" s="16"/>
      <c r="F87" s="17"/>
      <c r="G87" s="17"/>
      <c r="H87" s="17"/>
      <c r="I87" s="16"/>
      <c r="J87" s="16"/>
      <c r="K87" s="18"/>
      <c r="L87" s="16"/>
      <c r="M87" s="16"/>
      <c r="N87" s="16"/>
      <c r="O87" s="16"/>
      <c r="P87" s="16"/>
      <c r="Q87" s="16"/>
      <c r="R87" s="17"/>
      <c r="S87" s="17"/>
      <c r="T87" s="17"/>
      <c r="U87" s="17"/>
      <c r="V87" s="17"/>
      <c r="W87" s="17"/>
      <c r="X87" s="17"/>
    </row>
    <row r="88" s="4" customFormat="1" ht="18.6" customHeight="1" spans="1:24">
      <c r="A88" s="16">
        <v>97</v>
      </c>
      <c r="B88" s="17" t="s">
        <v>22</v>
      </c>
      <c r="C88" s="17" t="s">
        <v>43</v>
      </c>
      <c r="D88" s="17"/>
      <c r="E88" s="17"/>
      <c r="F88" s="17"/>
      <c r="G88" s="17"/>
      <c r="H88" s="17"/>
      <c r="I88" s="17"/>
      <c r="J88" s="17"/>
      <c r="K88" s="18"/>
      <c r="L88" s="17"/>
      <c r="M88" s="17"/>
      <c r="N88" s="18"/>
      <c r="O88" s="18"/>
      <c r="P88" s="18"/>
      <c r="Q88" s="23"/>
      <c r="R88" s="17"/>
      <c r="S88" s="17"/>
      <c r="T88" s="17"/>
      <c r="U88" s="17"/>
      <c r="V88" s="17"/>
      <c r="W88" s="17"/>
      <c r="X88" s="17"/>
    </row>
    <row r="89" s="4" customFormat="1" ht="18.6" customHeight="1" spans="1:24">
      <c r="A89" s="16">
        <v>98</v>
      </c>
      <c r="B89" s="17" t="s">
        <v>22</v>
      </c>
      <c r="C89" s="17" t="s">
        <v>43</v>
      </c>
      <c r="D89" s="17"/>
      <c r="E89" s="17"/>
      <c r="F89" s="17"/>
      <c r="G89" s="17"/>
      <c r="H89" s="17"/>
      <c r="I89" s="17"/>
      <c r="J89" s="17"/>
      <c r="K89" s="18"/>
      <c r="L89" s="17"/>
      <c r="M89" s="17"/>
      <c r="N89" s="17"/>
      <c r="O89" s="17"/>
      <c r="P89" s="17"/>
      <c r="Q89" s="23"/>
      <c r="R89" s="17"/>
      <c r="S89" s="17"/>
      <c r="T89" s="17"/>
      <c r="U89" s="17"/>
      <c r="V89" s="17"/>
      <c r="W89" s="17"/>
      <c r="X89" s="17"/>
    </row>
  </sheetData>
  <autoFilter xmlns:etc="http://www.wps.cn/officeDocument/2017/etCustomData" ref="A3:XFC89" etc:filterBottomFollowUsedRange="0">
    <extLst/>
  </autoFilter>
  <mergeCells count="2">
    <mergeCell ref="A1:Q1"/>
    <mergeCell ref="A2:Q2"/>
  </mergeCells>
  <conditionalFormatting sqref="E$1:E$1048576">
    <cfRule type="duplicateValues" dxfId="0" priority="155"/>
    <cfRule type="duplicateValues" dxfId="0" priority="167"/>
  </conditionalFormatting>
  <conditionalFormatting sqref="E1:E3 E46:E89">
    <cfRule type="duplicateValues" dxfId="0" priority="673"/>
  </conditionalFormatting>
  <dataValidations count="1">
    <dataValidation type="list" allowBlank="1" showInputMessage="1" showErrorMessage="1" sqref="H4:H12 H13:H89">
      <formula1>"男,女"</formula1>
    </dataValidation>
  </dataValidations>
  <pageMargins left="0.75" right="0.75" top="1" bottom="1" header="0.5" footer="0.5"/>
  <pageSetup paperSize="9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总表</vt:lpstr>
      <vt:lpstr>运营商事业部（按项目分）</vt:lpstr>
      <vt:lpstr>花名册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安沄</cp:lastModifiedBy>
  <dcterms:created xsi:type="dcterms:W3CDTF">2023-05-12T11:15:00Z</dcterms:created>
  <dcterms:modified xsi:type="dcterms:W3CDTF">2026-05-25T05:36:55Z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3F60C47B23AF45998B731F8BDCB05CE1_13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